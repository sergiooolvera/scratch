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gi\.gemini\antigravity\scratch\CursosIEDCH\"/>
    </mc:Choice>
  </mc:AlternateContent>
  <xr:revisionPtr revIDLastSave="0" documentId="13_ncr:1_{7B8E0685-4D14-4ACE-B7A2-909C38A472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%Participacio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J2" i="5"/>
  <c r="F2" i="5" s="1"/>
  <c r="D4" i="5" l="1"/>
  <c r="E4" i="5" s="1"/>
  <c r="D2" i="5"/>
  <c r="D5" i="5"/>
  <c r="D7" i="5"/>
  <c r="C16" i="5" s="1"/>
  <c r="D21" i="5" s="1"/>
  <c r="D6" i="5"/>
  <c r="D3" i="5"/>
  <c r="D20" i="5" l="1"/>
  <c r="D17" i="5"/>
  <c r="D18" i="5"/>
  <c r="D19" i="5"/>
  <c r="C12" i="5"/>
</calcChain>
</file>

<file path=xl/sharedStrings.xml><?xml version="1.0" encoding="utf-8"?>
<sst xmlns="http://schemas.openxmlformats.org/spreadsheetml/2006/main" count="23" uniqueCount="22">
  <si>
    <t>Concepto</t>
  </si>
  <si>
    <t>Porcentaje</t>
  </si>
  <si>
    <t>Monto</t>
  </si>
  <si>
    <t>Ingreso Total</t>
  </si>
  <si>
    <t>Stripe Connect</t>
  </si>
  <si>
    <t>Profesor</t>
  </si>
  <si>
    <t>Stripe Cobro Cursos</t>
  </si>
  <si>
    <t>Ganancia</t>
  </si>
  <si>
    <t>Sistemas</t>
  </si>
  <si>
    <t>Ventas</t>
  </si>
  <si>
    <t>InfraEstructura</t>
  </si>
  <si>
    <t>Profesores</t>
  </si>
  <si>
    <t>Curso</t>
  </si>
  <si>
    <t>Ventas/Profesor</t>
  </si>
  <si>
    <t>TOTAL</t>
  </si>
  <si>
    <t>Operación</t>
  </si>
  <si>
    <t>CEO</t>
  </si>
  <si>
    <t>Control Academico</t>
  </si>
  <si>
    <t>Marketing</t>
  </si>
  <si>
    <t>Juridico, Conta</t>
  </si>
  <si>
    <t>Gastos Operativo 68%</t>
  </si>
  <si>
    <t>Reparto por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</si>
</sst>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9" fontId="0" fillId="0" borderId="0" xfId="2" applyFont="1"/>
    <xf numFmtId="44" fontId="0" fillId="0" borderId="0" xfId="1" applyFont="1"/>
    <xf numFmtId="0" fontId="2" fillId="0" borderId="0" xfId="0" applyFont="1"/>
    <xf numFmtId="0" fontId="3" fillId="0" borderId="0" xfId="0" applyFont="1"/>
    <xf numFmtId="44" fontId="3" fillId="0" borderId="0" xfId="1" applyFont="1"/>
    <xf numFmtId="44" fontId="0" fillId="2" borderId="0" xfId="0" applyNumberForma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164" fontId="2" fillId="0" borderId="0" xfId="2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7" xfId="2" applyNumberFormat="1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164" fontId="0" fillId="0" borderId="8" xfId="2" applyNumberFormat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2" fillId="2" borderId="0" xfId="1" applyFont="1" applyFill="1" applyAlignment="1">
      <alignment horizontal="center"/>
    </xf>
    <xf numFmtId="44" fontId="0" fillId="3" borderId="2" xfId="1" applyFont="1" applyFill="1" applyBorder="1" applyAlignment="1">
      <alignment horizontal="center"/>
    </xf>
    <xf numFmtId="44" fontId="0" fillId="3" borderId="4" xfId="1" applyFont="1" applyFill="1" applyBorder="1" applyAlignment="1">
      <alignment horizontal="center"/>
    </xf>
    <xf numFmtId="44" fontId="0" fillId="3" borderId="6" xfId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0E25-7653-40A0-AE71-C81EC037B517}">
  <dimension ref="A1:J21"/>
  <sheetViews>
    <sheetView tabSelected="1" zoomScale="85" zoomScaleNormal="85" workbookViewId="0">
      <selection activeCell="F21" sqref="F21"/>
    </sheetView>
  </sheetViews>
  <sheetFormatPr baseColWidth="10" defaultRowHeight="15" x14ac:dyDescent="0.25"/>
  <cols>
    <col min="2" max="2" width="23.7109375" bestFit="1" customWidth="1"/>
    <col min="3" max="3" width="19.5703125" customWidth="1"/>
    <col min="4" max="4" width="12.5703125" bestFit="1" customWidth="1"/>
    <col min="6" max="6" width="12.42578125" bestFit="1" customWidth="1"/>
    <col min="7" max="7" width="15.5703125" bestFit="1" customWidth="1"/>
  </cols>
  <sheetData>
    <row r="1" spans="1:10" x14ac:dyDescent="0.25">
      <c r="B1" s="3" t="s">
        <v>0</v>
      </c>
      <c r="C1" s="14" t="s">
        <v>1</v>
      </c>
      <c r="D1" s="15" t="s">
        <v>2</v>
      </c>
      <c r="F1" s="4" t="s">
        <v>3</v>
      </c>
      <c r="H1" s="3" t="s">
        <v>11</v>
      </c>
      <c r="I1" s="3" t="s">
        <v>12</v>
      </c>
      <c r="J1" s="3" t="s">
        <v>9</v>
      </c>
    </row>
    <row r="2" spans="1:10" x14ac:dyDescent="0.25">
      <c r="A2" s="8" t="s">
        <v>20</v>
      </c>
      <c r="B2" s="11" t="s">
        <v>6</v>
      </c>
      <c r="C2" s="16">
        <v>5.6000000000000001E-2</v>
      </c>
      <c r="D2" s="17">
        <f t="shared" ref="D2:D7" si="0">C2*$F$2</f>
        <v>582.4</v>
      </c>
      <c r="F2" s="5">
        <f>I2*J2</f>
        <v>10400</v>
      </c>
      <c r="H2">
        <v>4</v>
      </c>
      <c r="I2" s="2">
        <v>200</v>
      </c>
      <c r="J2">
        <f>H2*H3</f>
        <v>52</v>
      </c>
    </row>
    <row r="3" spans="1:10" x14ac:dyDescent="0.25">
      <c r="A3" s="9"/>
      <c r="B3" s="12" t="s">
        <v>4</v>
      </c>
      <c r="C3" s="18">
        <v>4.0000000000000001E-3</v>
      </c>
      <c r="D3" s="19">
        <f t="shared" si="0"/>
        <v>41.6</v>
      </c>
      <c r="G3" t="s">
        <v>13</v>
      </c>
      <c r="H3">
        <v>13</v>
      </c>
    </row>
    <row r="4" spans="1:10" x14ac:dyDescent="0.25">
      <c r="A4" s="9"/>
      <c r="B4" s="12" t="s">
        <v>5</v>
      </c>
      <c r="C4" s="18">
        <v>0.4</v>
      </c>
      <c r="D4" s="19">
        <f t="shared" si="0"/>
        <v>4160</v>
      </c>
      <c r="E4" s="6">
        <f>D4/H2</f>
        <v>1040</v>
      </c>
    </row>
    <row r="5" spans="1:10" x14ac:dyDescent="0.25">
      <c r="A5" s="9"/>
      <c r="B5" s="12" t="s">
        <v>10</v>
      </c>
      <c r="C5" s="18">
        <v>0.12</v>
      </c>
      <c r="D5" s="19">
        <f t="shared" si="0"/>
        <v>1248</v>
      </c>
    </row>
    <row r="6" spans="1:10" x14ac:dyDescent="0.25">
      <c r="A6" s="10"/>
      <c r="B6" s="13" t="s">
        <v>18</v>
      </c>
      <c r="C6" s="20">
        <v>0.1</v>
      </c>
      <c r="D6" s="21">
        <f>C6*$F$2</f>
        <v>1040</v>
      </c>
    </row>
    <row r="7" spans="1:10" x14ac:dyDescent="0.25">
      <c r="B7" s="3" t="s">
        <v>7</v>
      </c>
      <c r="C7" s="22">
        <v>0.32</v>
      </c>
      <c r="D7" s="23">
        <f>C7*$F$2</f>
        <v>3328</v>
      </c>
    </row>
    <row r="8" spans="1:10" x14ac:dyDescent="0.25">
      <c r="C8" s="7"/>
      <c r="D8" s="7"/>
    </row>
    <row r="9" spans="1:10" x14ac:dyDescent="0.25">
      <c r="C9" s="22"/>
      <c r="D9" s="23"/>
    </row>
    <row r="10" spans="1:10" x14ac:dyDescent="0.25">
      <c r="C10" s="22"/>
      <c r="D10" s="23"/>
    </row>
    <row r="11" spans="1:10" x14ac:dyDescent="0.25">
      <c r="C11" s="22"/>
      <c r="D11" s="23"/>
    </row>
    <row r="12" spans="1:10" x14ac:dyDescent="0.25">
      <c r="B12" t="s">
        <v>14</v>
      </c>
      <c r="C12" s="22">
        <f>SUM(C2:C11)</f>
        <v>1</v>
      </c>
      <c r="D12" s="23">
        <f>SUM(D2:D7)</f>
        <v>10400</v>
      </c>
    </row>
    <row r="13" spans="1:10" x14ac:dyDescent="0.25">
      <c r="C13" s="22"/>
      <c r="D13" s="23"/>
    </row>
    <row r="14" spans="1:10" x14ac:dyDescent="0.25">
      <c r="C14" s="22"/>
      <c r="D14" s="23"/>
    </row>
    <row r="15" spans="1:10" x14ac:dyDescent="0.25">
      <c r="C15" s="22"/>
      <c r="D15" s="23"/>
    </row>
    <row r="16" spans="1:10" x14ac:dyDescent="0.25">
      <c r="B16" s="3" t="s">
        <v>7</v>
      </c>
      <c r="C16" s="24">
        <f>D7</f>
        <v>3328</v>
      </c>
      <c r="D16" s="23"/>
      <c r="F16" s="3"/>
    </row>
    <row r="17" spans="1:5" ht="30" customHeight="1" x14ac:dyDescent="0.25">
      <c r="A17" s="8" t="s">
        <v>21</v>
      </c>
      <c r="B17" s="11" t="s">
        <v>8</v>
      </c>
      <c r="C17" s="16">
        <v>0.3</v>
      </c>
      <c r="D17" s="25">
        <f>C16*C17</f>
        <v>998.4</v>
      </c>
      <c r="E17" s="2"/>
    </row>
    <row r="18" spans="1:5" x14ac:dyDescent="0.25">
      <c r="A18" s="9"/>
      <c r="B18" s="12" t="s">
        <v>16</v>
      </c>
      <c r="C18" s="18">
        <v>0.25</v>
      </c>
      <c r="D18" s="26">
        <f>C16*C18</f>
        <v>832</v>
      </c>
      <c r="E18" s="2"/>
    </row>
    <row r="19" spans="1:5" x14ac:dyDescent="0.25">
      <c r="A19" s="9"/>
      <c r="B19" s="12" t="s">
        <v>15</v>
      </c>
      <c r="C19" s="18">
        <v>0.18</v>
      </c>
      <c r="D19" s="26">
        <f>C16*C19</f>
        <v>599.04</v>
      </c>
      <c r="E19" s="1"/>
    </row>
    <row r="20" spans="1:5" x14ac:dyDescent="0.25">
      <c r="A20" s="9"/>
      <c r="B20" s="12" t="s">
        <v>17</v>
      </c>
      <c r="C20" s="18">
        <v>0.2</v>
      </c>
      <c r="D20" s="26">
        <f>C16*C20</f>
        <v>665.6</v>
      </c>
      <c r="E20" s="1"/>
    </row>
    <row r="21" spans="1:5" x14ac:dyDescent="0.25">
      <c r="A21" s="10"/>
      <c r="B21" s="13" t="s">
        <v>19</v>
      </c>
      <c r="C21" s="20">
        <v>7.0000000000000007E-2</v>
      </c>
      <c r="D21" s="27">
        <f>C16*C21</f>
        <v>232.96000000000004</v>
      </c>
    </row>
  </sheetData>
  <mergeCells count="2">
    <mergeCell ref="A2:A6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%Participacion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Outlook</cp:lastModifiedBy>
  <dcterms:created xsi:type="dcterms:W3CDTF">2026-03-31T18:08:04Z</dcterms:created>
  <dcterms:modified xsi:type="dcterms:W3CDTF">2026-04-02T01:14:20Z</dcterms:modified>
</cp:coreProperties>
</file>