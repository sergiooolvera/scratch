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.gemini\antigravity\scratch\CursosIEDCH\"/>
    </mc:Choice>
  </mc:AlternateContent>
  <xr:revisionPtr revIDLastSave="0" documentId="13_ncr:1_{7C60AC72-412B-40D7-8F98-9472B123745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-2 Meses" sheetId="5" r:id="rId1"/>
    <sheet name="3 Meses" sheetId="6" r:id="rId2"/>
    <sheet name="6 Meses" sheetId="7" r:id="rId3"/>
    <sheet name="12 Meses" sheetId="8" r:id="rId4"/>
    <sheet name="Explosivo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9" l="1"/>
  <c r="H2" i="9"/>
  <c r="B3" i="9" s="1"/>
  <c r="C14" i="8"/>
  <c r="H2" i="8"/>
  <c r="B3" i="8" s="1"/>
  <c r="C14" i="7"/>
  <c r="H2" i="7"/>
  <c r="B3" i="7" s="1"/>
  <c r="C14" i="6"/>
  <c r="H2" i="6"/>
  <c r="B3" i="6" s="1"/>
  <c r="C14" i="5"/>
  <c r="D9" i="9" l="1"/>
  <c r="D8" i="9"/>
  <c r="E8" i="9" s="1"/>
  <c r="D7" i="9"/>
  <c r="D6" i="9"/>
  <c r="D12" i="9"/>
  <c r="D11" i="9"/>
  <c r="D10" i="9"/>
  <c r="D10" i="8"/>
  <c r="D9" i="8"/>
  <c r="D8" i="8"/>
  <c r="E8" i="8" s="1"/>
  <c r="D7" i="8"/>
  <c r="D6" i="8"/>
  <c r="D12" i="8"/>
  <c r="D11" i="8"/>
  <c r="D11" i="7"/>
  <c r="D10" i="7"/>
  <c r="D7" i="7"/>
  <c r="D9" i="7"/>
  <c r="D8" i="7"/>
  <c r="E8" i="7" s="1"/>
  <c r="D6" i="7"/>
  <c r="D12" i="7"/>
  <c r="D9" i="6"/>
  <c r="D8" i="6"/>
  <c r="E8" i="6" s="1"/>
  <c r="D7" i="6"/>
  <c r="D6" i="6"/>
  <c r="D12" i="6"/>
  <c r="D11" i="6"/>
  <c r="D10" i="6"/>
  <c r="D14" i="9" l="1"/>
  <c r="D14" i="8"/>
  <c r="D14" i="7"/>
  <c r="D14" i="6"/>
  <c r="H2" i="5"/>
  <c r="B3" i="5" s="1"/>
  <c r="D12" i="5" l="1"/>
  <c r="D11" i="5"/>
  <c r="D10" i="5"/>
  <c r="D9" i="5"/>
  <c r="D8" i="5"/>
  <c r="E8" i="5" s="1"/>
  <c r="D7" i="5"/>
  <c r="D6" i="5"/>
  <c r="D14" i="5" l="1"/>
</calcChain>
</file>

<file path=xl/sharedStrings.xml><?xml version="1.0" encoding="utf-8"?>
<sst xmlns="http://schemas.openxmlformats.org/spreadsheetml/2006/main" count="120" uniqueCount="25">
  <si>
    <t>Concepto</t>
  </si>
  <si>
    <t>Porcentaje</t>
  </si>
  <si>
    <t>Monto</t>
  </si>
  <si>
    <t>Ingreso Total</t>
  </si>
  <si>
    <t>Stripe Connect</t>
  </si>
  <si>
    <t>Profesor</t>
  </si>
  <si>
    <t>Stripe Cobro Cursos</t>
  </si>
  <si>
    <t>Ventas</t>
  </si>
  <si>
    <t>InfraEstructura</t>
  </si>
  <si>
    <t>Profesores</t>
  </si>
  <si>
    <t>Curso</t>
  </si>
  <si>
    <t>Ventas/Profesor</t>
  </si>
  <si>
    <t>TOTAL</t>
  </si>
  <si>
    <t>Utilidad</t>
  </si>
  <si>
    <t>Operación</t>
  </si>
  <si>
    <t>Se cobra entre el 5 y 7 % entre mas costo tenga el curso, menos comision se lleva stripe</t>
  </si>
  <si>
    <t>Comentarios</t>
  </si>
  <si>
    <t>Para repartir el dinero se cobra .025% del monto + 15 pesos y una cuenta activa mensual de 35 pesos</t>
  </si>
  <si>
    <t>Realiza el curso y el examen, y busca retencion (son nuestro capital humano)</t>
  </si>
  <si>
    <t>Marketing y Ventas</t>
  </si>
  <si>
    <t>Hay que considerar, para fonde ahorro y reinversion</t>
  </si>
  <si>
    <t>Conseguir aliados,  estrategias de capatacion de alumnos y profesores e instituciones, Sueldos</t>
  </si>
  <si>
    <t>Personal que apoyará a llevar en orden el ciclo de vida del negocio,Sueldos</t>
  </si>
  <si>
    <t>Hay que considerar, para fondo de ahorro y reinversion</t>
  </si>
  <si>
    <t>Servidores, Tenologias, Herramientas, Equipo 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</si>
</sst>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2" applyNumberFormat="1" applyFont="1"/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/>
    <xf numFmtId="44" fontId="5" fillId="0" borderId="0" xfId="1" applyFont="1" applyAlignment="1">
      <alignment horizontal="center" vertical="center"/>
    </xf>
    <xf numFmtId="0" fontId="2" fillId="0" borderId="1" xfId="0" applyFont="1" applyBorder="1"/>
    <xf numFmtId="164" fontId="2" fillId="0" borderId="1" xfId="2" applyNumberFormat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0E25-7653-40A0-AE71-C81EC037B517}">
  <dimension ref="A1:K17"/>
  <sheetViews>
    <sheetView topLeftCell="A6" zoomScaleNormal="100" workbookViewId="0">
      <selection activeCell="B9" sqref="B9"/>
    </sheetView>
  </sheetViews>
  <sheetFormatPr baseColWidth="10" defaultRowHeight="15" x14ac:dyDescent="0.25"/>
  <cols>
    <col min="1" max="1" width="18.28515625" customWidth="1"/>
    <col min="2" max="2" width="21" customWidth="1"/>
    <col min="3" max="3" width="10.5703125" bestFit="1" customWidth="1"/>
    <col min="4" max="4" width="11.5703125" bestFit="1" customWidth="1"/>
    <col min="5" max="5" width="15.5703125" bestFit="1" customWidth="1"/>
    <col min="6" max="6" width="12.42578125" bestFit="1" customWidth="1"/>
    <col min="7" max="8" width="15.5703125" bestFit="1" customWidth="1"/>
  </cols>
  <sheetData>
    <row r="1" spans="1:11" x14ac:dyDescent="0.25">
      <c r="E1" s="7"/>
      <c r="F1" s="8" t="s">
        <v>9</v>
      </c>
      <c r="G1" s="8" t="s">
        <v>10</v>
      </c>
      <c r="H1" s="9" t="s">
        <v>7</v>
      </c>
    </row>
    <row r="2" spans="1:11" x14ac:dyDescent="0.25">
      <c r="B2" s="26" t="s">
        <v>3</v>
      </c>
      <c r="E2" s="10"/>
      <c r="F2" s="3">
        <v>4</v>
      </c>
      <c r="G2" s="11">
        <v>200</v>
      </c>
      <c r="H2" s="12">
        <f>F2*F3</f>
        <v>52</v>
      </c>
    </row>
    <row r="3" spans="1:11" ht="18.75" x14ac:dyDescent="0.25">
      <c r="A3" s="5"/>
      <c r="B3" s="18">
        <f>G2*H2</f>
        <v>10400</v>
      </c>
      <c r="E3" s="13" t="s">
        <v>11</v>
      </c>
      <c r="F3" s="14">
        <v>13</v>
      </c>
      <c r="G3" s="15"/>
      <c r="H3" s="16"/>
    </row>
    <row r="5" spans="1:11" x14ac:dyDescent="0.25">
      <c r="A5" s="19" t="s">
        <v>0</v>
      </c>
      <c r="B5" s="19" t="s">
        <v>16</v>
      </c>
      <c r="C5" s="20" t="s">
        <v>1</v>
      </c>
      <c r="D5" s="19" t="s">
        <v>2</v>
      </c>
    </row>
    <row r="6" spans="1:11" ht="90" x14ac:dyDescent="0.25">
      <c r="A6" s="21" t="s">
        <v>6</v>
      </c>
      <c r="B6" s="22" t="s">
        <v>15</v>
      </c>
      <c r="C6" s="23">
        <v>5.6000000000000001E-2</v>
      </c>
      <c r="D6" s="24">
        <f t="shared" ref="D6:D12" si="0">C6*$B$3</f>
        <v>582.4</v>
      </c>
      <c r="E6" s="3"/>
    </row>
    <row r="7" spans="1:11" ht="105" x14ac:dyDescent="0.25">
      <c r="A7" s="21" t="s">
        <v>4</v>
      </c>
      <c r="B7" s="22" t="s">
        <v>17</v>
      </c>
      <c r="C7" s="23">
        <v>4.0000000000000001E-3</v>
      </c>
      <c r="D7" s="24">
        <f t="shared" si="0"/>
        <v>41.6</v>
      </c>
      <c r="E7" s="3"/>
    </row>
    <row r="8" spans="1:11" ht="75" x14ac:dyDescent="0.25">
      <c r="A8" s="21" t="s">
        <v>5</v>
      </c>
      <c r="B8" s="22" t="s">
        <v>18</v>
      </c>
      <c r="C8" s="23">
        <v>0.4</v>
      </c>
      <c r="D8" s="24">
        <f t="shared" si="0"/>
        <v>4160</v>
      </c>
      <c r="E8" s="6">
        <f>D8/F2</f>
        <v>1040</v>
      </c>
      <c r="F8" s="5"/>
      <c r="G8" s="3"/>
      <c r="H8" s="3"/>
      <c r="I8" s="3"/>
      <c r="J8" s="4"/>
      <c r="K8" s="3"/>
    </row>
    <row r="9" spans="1:11" ht="60" x14ac:dyDescent="0.25">
      <c r="A9" s="21" t="s">
        <v>8</v>
      </c>
      <c r="B9" s="22" t="s">
        <v>24</v>
      </c>
      <c r="C9" s="23">
        <v>0.2</v>
      </c>
      <c r="D9" s="24">
        <f t="shared" si="0"/>
        <v>2080</v>
      </c>
      <c r="E9" s="3"/>
      <c r="F9" s="5"/>
      <c r="G9" s="3"/>
      <c r="H9" s="3"/>
      <c r="I9" s="3"/>
      <c r="J9" s="4"/>
      <c r="K9" s="3"/>
    </row>
    <row r="10" spans="1:11" ht="90" x14ac:dyDescent="0.25">
      <c r="A10" s="21" t="s">
        <v>19</v>
      </c>
      <c r="B10" s="22" t="s">
        <v>21</v>
      </c>
      <c r="C10" s="23">
        <v>0.25</v>
      </c>
      <c r="D10" s="24">
        <f t="shared" si="0"/>
        <v>2600</v>
      </c>
      <c r="E10" s="3"/>
      <c r="F10" s="5"/>
      <c r="G10" s="3"/>
      <c r="H10" s="3"/>
      <c r="I10" s="3"/>
      <c r="J10" s="4"/>
      <c r="K10" s="3"/>
    </row>
    <row r="11" spans="1:11" ht="45" x14ac:dyDescent="0.25">
      <c r="A11" s="21" t="s">
        <v>13</v>
      </c>
      <c r="B11" s="22" t="s">
        <v>23</v>
      </c>
      <c r="C11" s="23">
        <v>0.04</v>
      </c>
      <c r="D11" s="24">
        <f t="shared" si="0"/>
        <v>416</v>
      </c>
    </row>
    <row r="12" spans="1:11" ht="60" x14ac:dyDescent="0.25">
      <c r="A12" s="21" t="s">
        <v>14</v>
      </c>
      <c r="B12" s="22" t="s">
        <v>22</v>
      </c>
      <c r="C12" s="23">
        <v>0.05</v>
      </c>
      <c r="D12" s="24">
        <f t="shared" si="0"/>
        <v>520</v>
      </c>
    </row>
    <row r="13" spans="1:11" x14ac:dyDescent="0.25">
      <c r="A13" s="21"/>
      <c r="B13" s="25"/>
      <c r="C13" s="23"/>
      <c r="D13" s="24"/>
    </row>
    <row r="14" spans="1:11" x14ac:dyDescent="0.25">
      <c r="A14" s="21" t="s">
        <v>12</v>
      </c>
      <c r="B14" s="25"/>
      <c r="C14" s="23">
        <f>SUM(C6:C13)</f>
        <v>1</v>
      </c>
      <c r="D14" s="24">
        <f>SUM(D6:D12)</f>
        <v>10400</v>
      </c>
    </row>
    <row r="15" spans="1:11" x14ac:dyDescent="0.25">
      <c r="C15" s="1"/>
      <c r="D15" s="2"/>
    </row>
    <row r="16" spans="1:11" x14ac:dyDescent="0.25">
      <c r="C16" s="1"/>
      <c r="D16" s="2"/>
    </row>
    <row r="17" spans="3:4" x14ac:dyDescent="0.25">
      <c r="C17" s="1"/>
      <c r="D1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8614-6D5D-497F-BEE8-5EF59BC8F995}">
  <dimension ref="A1:K17"/>
  <sheetViews>
    <sheetView topLeftCell="A7" zoomScaleNormal="100" workbookViewId="0">
      <selection activeCell="B9" sqref="B9"/>
    </sheetView>
  </sheetViews>
  <sheetFormatPr baseColWidth="10" defaultRowHeight="15" x14ac:dyDescent="0.25"/>
  <cols>
    <col min="1" max="1" width="18.28515625" customWidth="1"/>
    <col min="2" max="2" width="21" customWidth="1"/>
    <col min="3" max="3" width="10.5703125" bestFit="1" customWidth="1"/>
    <col min="4" max="4" width="11.5703125" bestFit="1" customWidth="1"/>
    <col min="5" max="5" width="15.5703125" bestFit="1" customWidth="1"/>
    <col min="6" max="6" width="12.42578125" bestFit="1" customWidth="1"/>
    <col min="7" max="8" width="15.5703125" bestFit="1" customWidth="1"/>
  </cols>
  <sheetData>
    <row r="1" spans="1:11" x14ac:dyDescent="0.25">
      <c r="E1" s="7"/>
      <c r="F1" s="8" t="s">
        <v>9</v>
      </c>
      <c r="G1" s="8" t="s">
        <v>10</v>
      </c>
      <c r="H1" s="9" t="s">
        <v>7</v>
      </c>
    </row>
    <row r="2" spans="1:11" x14ac:dyDescent="0.25">
      <c r="B2" s="17" t="s">
        <v>3</v>
      </c>
      <c r="E2" s="10"/>
      <c r="F2" s="3">
        <v>10</v>
      </c>
      <c r="G2" s="11">
        <v>200</v>
      </c>
      <c r="H2" s="12">
        <f>F2*F3</f>
        <v>200</v>
      </c>
    </row>
    <row r="3" spans="1:11" ht="18.75" x14ac:dyDescent="0.25">
      <c r="A3" s="5"/>
      <c r="B3" s="18">
        <f>G2*H2</f>
        <v>40000</v>
      </c>
      <c r="E3" s="13" t="s">
        <v>11</v>
      </c>
      <c r="F3" s="14">
        <v>20</v>
      </c>
      <c r="G3" s="15"/>
      <c r="H3" s="16"/>
    </row>
    <row r="5" spans="1:11" x14ac:dyDescent="0.25">
      <c r="A5" s="19" t="s">
        <v>0</v>
      </c>
      <c r="B5" s="19" t="s">
        <v>16</v>
      </c>
      <c r="C5" s="20" t="s">
        <v>1</v>
      </c>
      <c r="D5" s="19" t="s">
        <v>2</v>
      </c>
    </row>
    <row r="6" spans="1:11" ht="90" x14ac:dyDescent="0.25">
      <c r="A6" s="21" t="s">
        <v>6</v>
      </c>
      <c r="B6" s="22" t="s">
        <v>15</v>
      </c>
      <c r="C6" s="23">
        <v>5.6000000000000001E-2</v>
      </c>
      <c r="D6" s="24">
        <f t="shared" ref="D6:D12" si="0">C6*$B$3</f>
        <v>2240</v>
      </c>
      <c r="E6" s="3"/>
    </row>
    <row r="7" spans="1:11" ht="105" x14ac:dyDescent="0.25">
      <c r="A7" s="21" t="s">
        <v>4</v>
      </c>
      <c r="B7" s="22" t="s">
        <v>17</v>
      </c>
      <c r="C7" s="23">
        <v>4.0000000000000001E-3</v>
      </c>
      <c r="D7" s="24">
        <f t="shared" si="0"/>
        <v>160</v>
      </c>
      <c r="E7" s="3"/>
    </row>
    <row r="8" spans="1:11" ht="75" x14ac:dyDescent="0.25">
      <c r="A8" s="21" t="s">
        <v>5</v>
      </c>
      <c r="B8" s="22" t="s">
        <v>18</v>
      </c>
      <c r="C8" s="23">
        <v>0.4</v>
      </c>
      <c r="D8" s="24">
        <f t="shared" si="0"/>
        <v>16000</v>
      </c>
      <c r="E8" s="6">
        <f>D8/F2</f>
        <v>1600</v>
      </c>
      <c r="F8" s="5"/>
      <c r="G8" s="3"/>
      <c r="H8" s="3"/>
      <c r="I8" s="3"/>
      <c r="J8" s="4"/>
      <c r="K8" s="3"/>
    </row>
    <row r="9" spans="1:11" ht="60" x14ac:dyDescent="0.25">
      <c r="A9" s="21" t="s">
        <v>8</v>
      </c>
      <c r="B9" s="22" t="s">
        <v>24</v>
      </c>
      <c r="C9" s="23">
        <v>0.2</v>
      </c>
      <c r="D9" s="24">
        <f t="shared" si="0"/>
        <v>8000</v>
      </c>
      <c r="E9" s="3"/>
      <c r="F9" s="5"/>
      <c r="G9" s="3"/>
      <c r="H9" s="3"/>
      <c r="I9" s="3"/>
      <c r="J9" s="4"/>
      <c r="K9" s="3"/>
    </row>
    <row r="10" spans="1:11" ht="90" x14ac:dyDescent="0.25">
      <c r="A10" s="21" t="s">
        <v>19</v>
      </c>
      <c r="B10" s="22" t="s">
        <v>21</v>
      </c>
      <c r="C10" s="23">
        <v>0.25</v>
      </c>
      <c r="D10" s="24">
        <f t="shared" si="0"/>
        <v>10000</v>
      </c>
      <c r="E10" s="3"/>
      <c r="F10" s="5"/>
      <c r="G10" s="3"/>
      <c r="H10" s="3"/>
      <c r="I10" s="3"/>
      <c r="J10" s="4"/>
      <c r="K10" s="3"/>
    </row>
    <row r="11" spans="1:11" ht="45" x14ac:dyDescent="0.25">
      <c r="A11" s="21" t="s">
        <v>13</v>
      </c>
      <c r="B11" s="22" t="s">
        <v>20</v>
      </c>
      <c r="C11" s="23">
        <v>0.04</v>
      </c>
      <c r="D11" s="24">
        <f t="shared" si="0"/>
        <v>1600</v>
      </c>
    </row>
    <row r="12" spans="1:11" ht="60" x14ac:dyDescent="0.25">
      <c r="A12" s="21" t="s">
        <v>14</v>
      </c>
      <c r="B12" s="22" t="s">
        <v>22</v>
      </c>
      <c r="C12" s="23">
        <v>0.05</v>
      </c>
      <c r="D12" s="24">
        <f t="shared" si="0"/>
        <v>2000</v>
      </c>
    </row>
    <row r="13" spans="1:11" x14ac:dyDescent="0.25">
      <c r="A13" s="21"/>
      <c r="B13" s="25"/>
      <c r="C13" s="23"/>
      <c r="D13" s="24"/>
    </row>
    <row r="14" spans="1:11" x14ac:dyDescent="0.25">
      <c r="A14" s="21" t="s">
        <v>12</v>
      </c>
      <c r="B14" s="25"/>
      <c r="C14" s="23">
        <f>SUM(C6:C13)</f>
        <v>1</v>
      </c>
      <c r="D14" s="24">
        <f>SUM(D6:D12)</f>
        <v>40000</v>
      </c>
    </row>
    <row r="15" spans="1:11" x14ac:dyDescent="0.25">
      <c r="C15" s="1"/>
      <c r="D15" s="2"/>
    </row>
    <row r="16" spans="1:11" x14ac:dyDescent="0.25">
      <c r="C16" s="1"/>
      <c r="D16" s="2"/>
    </row>
    <row r="17" spans="3:4" x14ac:dyDescent="0.25">
      <c r="C17" s="1"/>
      <c r="D1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4061-9410-4314-BB3F-A035F7AC3B81}">
  <dimension ref="A1:K17"/>
  <sheetViews>
    <sheetView topLeftCell="A8" zoomScaleNormal="100" workbookViewId="0">
      <selection activeCell="B9" sqref="B9"/>
    </sheetView>
  </sheetViews>
  <sheetFormatPr baseColWidth="10" defaultRowHeight="15" x14ac:dyDescent="0.25"/>
  <cols>
    <col min="1" max="1" width="18.28515625" customWidth="1"/>
    <col min="2" max="2" width="21" customWidth="1"/>
    <col min="3" max="3" width="10.5703125" bestFit="1" customWidth="1"/>
    <col min="4" max="4" width="12.5703125" bestFit="1" customWidth="1"/>
    <col min="5" max="5" width="15.5703125" bestFit="1" customWidth="1"/>
    <col min="6" max="6" width="12.42578125" bestFit="1" customWidth="1"/>
    <col min="7" max="8" width="15.5703125" bestFit="1" customWidth="1"/>
  </cols>
  <sheetData>
    <row r="1" spans="1:11" x14ac:dyDescent="0.25">
      <c r="E1" s="7"/>
      <c r="F1" s="8" t="s">
        <v>9</v>
      </c>
      <c r="G1" s="8" t="s">
        <v>10</v>
      </c>
      <c r="H1" s="9" t="s">
        <v>7</v>
      </c>
    </row>
    <row r="2" spans="1:11" x14ac:dyDescent="0.25">
      <c r="B2" s="17" t="s">
        <v>3</v>
      </c>
      <c r="E2" s="10"/>
      <c r="F2" s="3">
        <v>20</v>
      </c>
      <c r="G2" s="11">
        <v>200</v>
      </c>
      <c r="H2" s="12">
        <f>F2*F3</f>
        <v>800</v>
      </c>
    </row>
    <row r="3" spans="1:11" ht="18.75" x14ac:dyDescent="0.25">
      <c r="A3" s="5"/>
      <c r="B3" s="18">
        <f>G2*H2</f>
        <v>160000</v>
      </c>
      <c r="E3" s="13" t="s">
        <v>11</v>
      </c>
      <c r="F3" s="14">
        <v>40</v>
      </c>
      <c r="G3" s="15"/>
      <c r="H3" s="16"/>
    </row>
    <row r="5" spans="1:11" x14ac:dyDescent="0.25">
      <c r="A5" s="19" t="s">
        <v>0</v>
      </c>
      <c r="B5" s="19" t="s">
        <v>16</v>
      </c>
      <c r="C5" s="20" t="s">
        <v>1</v>
      </c>
      <c r="D5" s="19" t="s">
        <v>2</v>
      </c>
    </row>
    <row r="6" spans="1:11" ht="90" x14ac:dyDescent="0.25">
      <c r="A6" s="21" t="s">
        <v>6</v>
      </c>
      <c r="B6" s="22" t="s">
        <v>15</v>
      </c>
      <c r="C6" s="23">
        <v>5.6000000000000001E-2</v>
      </c>
      <c r="D6" s="24">
        <f t="shared" ref="D6:D12" si="0">C6*$B$3</f>
        <v>8960</v>
      </c>
      <c r="E6" s="3"/>
    </row>
    <row r="7" spans="1:11" ht="105" x14ac:dyDescent="0.25">
      <c r="A7" s="21" t="s">
        <v>4</v>
      </c>
      <c r="B7" s="22" t="s">
        <v>17</v>
      </c>
      <c r="C7" s="23">
        <v>4.0000000000000001E-3</v>
      </c>
      <c r="D7" s="24">
        <f t="shared" si="0"/>
        <v>640</v>
      </c>
      <c r="E7" s="3"/>
    </row>
    <row r="8" spans="1:11" ht="75" x14ac:dyDescent="0.25">
      <c r="A8" s="21" t="s">
        <v>5</v>
      </c>
      <c r="B8" s="22" t="s">
        <v>18</v>
      </c>
      <c r="C8" s="23">
        <v>0.4</v>
      </c>
      <c r="D8" s="24">
        <f t="shared" si="0"/>
        <v>64000</v>
      </c>
      <c r="E8" s="6">
        <f>D8/F2</f>
        <v>3200</v>
      </c>
      <c r="F8" s="5"/>
      <c r="G8" s="3"/>
      <c r="H8" s="3"/>
      <c r="I8" s="3"/>
      <c r="J8" s="4"/>
      <c r="K8" s="3"/>
    </row>
    <row r="9" spans="1:11" ht="60" x14ac:dyDescent="0.25">
      <c r="A9" s="21" t="s">
        <v>8</v>
      </c>
      <c r="B9" s="22" t="s">
        <v>24</v>
      </c>
      <c r="C9" s="23">
        <v>0.2</v>
      </c>
      <c r="D9" s="24">
        <f t="shared" si="0"/>
        <v>32000</v>
      </c>
      <c r="E9" s="3"/>
      <c r="F9" s="5"/>
      <c r="G9" s="3"/>
      <c r="H9" s="3"/>
      <c r="I9" s="3"/>
      <c r="J9" s="4"/>
      <c r="K9" s="3"/>
    </row>
    <row r="10" spans="1:11" ht="90" x14ac:dyDescent="0.25">
      <c r="A10" s="21" t="s">
        <v>19</v>
      </c>
      <c r="B10" s="22" t="s">
        <v>21</v>
      </c>
      <c r="C10" s="23">
        <v>0.25</v>
      </c>
      <c r="D10" s="24">
        <f t="shared" si="0"/>
        <v>40000</v>
      </c>
      <c r="E10" s="3"/>
      <c r="F10" s="5"/>
      <c r="G10" s="3"/>
      <c r="H10" s="3"/>
      <c r="I10" s="3"/>
      <c r="J10" s="4"/>
      <c r="K10" s="3"/>
    </row>
    <row r="11" spans="1:11" ht="45" x14ac:dyDescent="0.25">
      <c r="A11" s="21" t="s">
        <v>13</v>
      </c>
      <c r="B11" s="22" t="s">
        <v>20</v>
      </c>
      <c r="C11" s="23">
        <v>0.04</v>
      </c>
      <c r="D11" s="24">
        <f t="shared" si="0"/>
        <v>6400</v>
      </c>
    </row>
    <row r="12" spans="1:11" ht="60" x14ac:dyDescent="0.25">
      <c r="A12" s="21" t="s">
        <v>14</v>
      </c>
      <c r="B12" s="22" t="s">
        <v>22</v>
      </c>
      <c r="C12" s="23">
        <v>0.05</v>
      </c>
      <c r="D12" s="24">
        <f t="shared" si="0"/>
        <v>8000</v>
      </c>
    </row>
    <row r="13" spans="1:11" x14ac:dyDescent="0.25">
      <c r="A13" s="21"/>
      <c r="B13" s="25"/>
      <c r="C13" s="23"/>
      <c r="D13" s="24"/>
    </row>
    <row r="14" spans="1:11" x14ac:dyDescent="0.25">
      <c r="A14" s="21" t="s">
        <v>12</v>
      </c>
      <c r="B14" s="25"/>
      <c r="C14" s="23">
        <f>SUM(C6:C13)</f>
        <v>1</v>
      </c>
      <c r="D14" s="24">
        <f>SUM(D6:D12)</f>
        <v>160000</v>
      </c>
    </row>
    <row r="15" spans="1:11" x14ac:dyDescent="0.25">
      <c r="C15" s="1"/>
      <c r="D15" s="2"/>
    </row>
    <row r="16" spans="1:11" x14ac:dyDescent="0.25">
      <c r="C16" s="1"/>
      <c r="D16" s="2"/>
    </row>
    <row r="17" spans="3:4" x14ac:dyDescent="0.25">
      <c r="C17" s="1"/>
      <c r="D1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E793-F2C8-4E7F-BBCC-4BE2FBFE0996}">
  <dimension ref="A1:K17"/>
  <sheetViews>
    <sheetView tabSelected="1" topLeftCell="A9" zoomScaleNormal="100" workbookViewId="0">
      <selection activeCell="D9" sqref="D9"/>
    </sheetView>
  </sheetViews>
  <sheetFormatPr baseColWidth="10" defaultRowHeight="15" x14ac:dyDescent="0.25"/>
  <cols>
    <col min="1" max="1" width="18.28515625" customWidth="1"/>
    <col min="2" max="2" width="21" customWidth="1"/>
    <col min="3" max="3" width="10.5703125" bestFit="1" customWidth="1"/>
    <col min="4" max="4" width="12.5703125" bestFit="1" customWidth="1"/>
    <col min="5" max="5" width="15.5703125" bestFit="1" customWidth="1"/>
    <col min="6" max="6" width="12.42578125" bestFit="1" customWidth="1"/>
    <col min="7" max="8" width="15.5703125" bestFit="1" customWidth="1"/>
  </cols>
  <sheetData>
    <row r="1" spans="1:11" x14ac:dyDescent="0.25">
      <c r="E1" s="7"/>
      <c r="F1" s="8" t="s">
        <v>9</v>
      </c>
      <c r="G1" s="8" t="s">
        <v>10</v>
      </c>
      <c r="H1" s="9" t="s">
        <v>7</v>
      </c>
    </row>
    <row r="2" spans="1:11" x14ac:dyDescent="0.25">
      <c r="B2" s="17" t="s">
        <v>3</v>
      </c>
      <c r="E2" s="10"/>
      <c r="F2" s="3">
        <v>40</v>
      </c>
      <c r="G2" s="11">
        <v>200</v>
      </c>
      <c r="H2" s="12">
        <f>F2*F3</f>
        <v>3200</v>
      </c>
    </row>
    <row r="3" spans="1:11" ht="18.75" x14ac:dyDescent="0.25">
      <c r="A3" s="5"/>
      <c r="B3" s="18">
        <f>G2*H2</f>
        <v>640000</v>
      </c>
      <c r="E3" s="13" t="s">
        <v>11</v>
      </c>
      <c r="F3" s="14">
        <v>80</v>
      </c>
      <c r="G3" s="15"/>
      <c r="H3" s="16"/>
    </row>
    <row r="5" spans="1:11" x14ac:dyDescent="0.25">
      <c r="A5" s="19" t="s">
        <v>0</v>
      </c>
      <c r="B5" s="19" t="s">
        <v>16</v>
      </c>
      <c r="C5" s="20" t="s">
        <v>1</v>
      </c>
      <c r="D5" s="19" t="s">
        <v>2</v>
      </c>
    </row>
    <row r="6" spans="1:11" ht="90" x14ac:dyDescent="0.25">
      <c r="A6" s="21" t="s">
        <v>6</v>
      </c>
      <c r="B6" s="22" t="s">
        <v>15</v>
      </c>
      <c r="C6" s="23">
        <v>5.6000000000000001E-2</v>
      </c>
      <c r="D6" s="24">
        <f t="shared" ref="D6:D12" si="0">C6*$B$3</f>
        <v>35840</v>
      </c>
      <c r="E6" s="3"/>
    </row>
    <row r="7" spans="1:11" ht="105" x14ac:dyDescent="0.25">
      <c r="A7" s="21" t="s">
        <v>4</v>
      </c>
      <c r="B7" s="22" t="s">
        <v>17</v>
      </c>
      <c r="C7" s="23">
        <v>4.0000000000000001E-3</v>
      </c>
      <c r="D7" s="24">
        <f t="shared" si="0"/>
        <v>2560</v>
      </c>
      <c r="E7" s="3"/>
    </row>
    <row r="8" spans="1:11" ht="75" x14ac:dyDescent="0.25">
      <c r="A8" s="21" t="s">
        <v>5</v>
      </c>
      <c r="B8" s="22" t="s">
        <v>18</v>
      </c>
      <c r="C8" s="23">
        <v>0.4</v>
      </c>
      <c r="D8" s="24">
        <f t="shared" si="0"/>
        <v>256000</v>
      </c>
      <c r="E8" s="6">
        <f>D8/F2</f>
        <v>6400</v>
      </c>
      <c r="F8" s="5"/>
      <c r="G8" s="3"/>
      <c r="H8" s="3"/>
      <c r="I8" s="3"/>
      <c r="J8" s="4"/>
      <c r="K8" s="3"/>
    </row>
    <row r="9" spans="1:11" ht="60" x14ac:dyDescent="0.25">
      <c r="A9" s="21" t="s">
        <v>8</v>
      </c>
      <c r="B9" s="22" t="s">
        <v>24</v>
      </c>
      <c r="C9" s="23">
        <v>0.2</v>
      </c>
      <c r="D9" s="24">
        <f t="shared" si="0"/>
        <v>128000</v>
      </c>
      <c r="E9" s="3"/>
      <c r="F9" s="5"/>
      <c r="G9" s="3"/>
      <c r="H9" s="3"/>
      <c r="I9" s="3"/>
      <c r="J9" s="4"/>
      <c r="K9" s="3"/>
    </row>
    <row r="10" spans="1:11" ht="90" x14ac:dyDescent="0.25">
      <c r="A10" s="21" t="s">
        <v>19</v>
      </c>
      <c r="B10" s="22" t="s">
        <v>21</v>
      </c>
      <c r="C10" s="23">
        <v>0.25</v>
      </c>
      <c r="D10" s="24">
        <f t="shared" si="0"/>
        <v>160000</v>
      </c>
      <c r="E10" s="3"/>
      <c r="F10" s="5"/>
      <c r="G10" s="3"/>
      <c r="H10" s="3"/>
      <c r="I10" s="3"/>
      <c r="J10" s="4"/>
      <c r="K10" s="3"/>
    </row>
    <row r="11" spans="1:11" ht="45" x14ac:dyDescent="0.25">
      <c r="A11" s="21" t="s">
        <v>13</v>
      </c>
      <c r="B11" s="22" t="s">
        <v>20</v>
      </c>
      <c r="C11" s="23">
        <v>0.04</v>
      </c>
      <c r="D11" s="24">
        <f t="shared" si="0"/>
        <v>25600</v>
      </c>
    </row>
    <row r="12" spans="1:11" ht="60" x14ac:dyDescent="0.25">
      <c r="A12" s="21" t="s">
        <v>14</v>
      </c>
      <c r="B12" s="22" t="s">
        <v>22</v>
      </c>
      <c r="C12" s="23">
        <v>0.05</v>
      </c>
      <c r="D12" s="24">
        <f t="shared" si="0"/>
        <v>32000</v>
      </c>
    </row>
    <row r="13" spans="1:11" x14ac:dyDescent="0.25">
      <c r="A13" s="21"/>
      <c r="B13" s="25"/>
      <c r="C13" s="23"/>
      <c r="D13" s="24"/>
    </row>
    <row r="14" spans="1:11" x14ac:dyDescent="0.25">
      <c r="A14" s="21" t="s">
        <v>12</v>
      </c>
      <c r="B14" s="25"/>
      <c r="C14" s="23">
        <f>SUM(C6:C13)</f>
        <v>1</v>
      </c>
      <c r="D14" s="24">
        <f>SUM(D6:D12)</f>
        <v>640000</v>
      </c>
    </row>
    <row r="15" spans="1:11" x14ac:dyDescent="0.25">
      <c r="C15" s="1"/>
      <c r="D15" s="2"/>
    </row>
    <row r="16" spans="1:11" x14ac:dyDescent="0.25">
      <c r="C16" s="1"/>
      <c r="D16" s="2"/>
    </row>
    <row r="17" spans="3:4" x14ac:dyDescent="0.25">
      <c r="C17" s="1"/>
      <c r="D17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B1CC-E256-478B-B4C0-E9918A837D14}">
  <dimension ref="A1:K17"/>
  <sheetViews>
    <sheetView topLeftCell="A6" zoomScaleNormal="100" workbookViewId="0">
      <selection activeCell="B10" sqref="B10"/>
    </sheetView>
  </sheetViews>
  <sheetFormatPr baseColWidth="10" defaultRowHeight="15" x14ac:dyDescent="0.25"/>
  <cols>
    <col min="1" max="1" width="18.28515625" customWidth="1"/>
    <col min="2" max="2" width="21" customWidth="1"/>
    <col min="3" max="3" width="10.5703125" bestFit="1" customWidth="1"/>
    <col min="4" max="4" width="14.140625" bestFit="1" customWidth="1"/>
    <col min="5" max="5" width="15.5703125" bestFit="1" customWidth="1"/>
    <col min="6" max="6" width="12.42578125" bestFit="1" customWidth="1"/>
    <col min="7" max="8" width="15.5703125" bestFit="1" customWidth="1"/>
  </cols>
  <sheetData>
    <row r="1" spans="1:11" x14ac:dyDescent="0.25">
      <c r="E1" s="7"/>
      <c r="F1" s="8" t="s">
        <v>9</v>
      </c>
      <c r="G1" s="8" t="s">
        <v>10</v>
      </c>
      <c r="H1" s="9" t="s">
        <v>7</v>
      </c>
    </row>
    <row r="2" spans="1:11" x14ac:dyDescent="0.25">
      <c r="B2" s="17" t="s">
        <v>3</v>
      </c>
      <c r="E2" s="10"/>
      <c r="F2" s="3">
        <v>100</v>
      </c>
      <c r="G2" s="11">
        <v>200</v>
      </c>
      <c r="H2" s="12">
        <f>F2*F3</f>
        <v>15000</v>
      </c>
    </row>
    <row r="3" spans="1:11" ht="18.75" x14ac:dyDescent="0.25">
      <c r="A3" s="5"/>
      <c r="B3" s="18">
        <f>G2*H2</f>
        <v>3000000</v>
      </c>
      <c r="E3" s="13" t="s">
        <v>11</v>
      </c>
      <c r="F3" s="14">
        <v>150</v>
      </c>
      <c r="G3" s="15"/>
      <c r="H3" s="16"/>
    </row>
    <row r="5" spans="1:11" x14ac:dyDescent="0.25">
      <c r="A5" s="19" t="s">
        <v>0</v>
      </c>
      <c r="B5" s="19" t="s">
        <v>16</v>
      </c>
      <c r="C5" s="20" t="s">
        <v>1</v>
      </c>
      <c r="D5" s="19" t="s">
        <v>2</v>
      </c>
    </row>
    <row r="6" spans="1:11" ht="90" x14ac:dyDescent="0.25">
      <c r="A6" s="21" t="s">
        <v>6</v>
      </c>
      <c r="B6" s="22" t="s">
        <v>15</v>
      </c>
      <c r="C6" s="23">
        <v>5.6000000000000001E-2</v>
      </c>
      <c r="D6" s="24">
        <f t="shared" ref="D6:D12" si="0">C6*$B$3</f>
        <v>168000</v>
      </c>
      <c r="E6" s="3"/>
    </row>
    <row r="7" spans="1:11" ht="105" x14ac:dyDescent="0.25">
      <c r="A7" s="21" t="s">
        <v>4</v>
      </c>
      <c r="B7" s="22" t="s">
        <v>17</v>
      </c>
      <c r="C7" s="23">
        <v>4.0000000000000001E-3</v>
      </c>
      <c r="D7" s="24">
        <f t="shared" si="0"/>
        <v>12000</v>
      </c>
      <c r="E7" s="3"/>
    </row>
    <row r="8" spans="1:11" ht="75" x14ac:dyDescent="0.25">
      <c r="A8" s="21" t="s">
        <v>5</v>
      </c>
      <c r="B8" s="22" t="s">
        <v>18</v>
      </c>
      <c r="C8" s="23">
        <v>0.4</v>
      </c>
      <c r="D8" s="24">
        <f t="shared" si="0"/>
        <v>1200000</v>
      </c>
      <c r="E8" s="6">
        <f>D8/F2</f>
        <v>12000</v>
      </c>
      <c r="F8" s="5"/>
      <c r="G8" s="3"/>
      <c r="H8" s="3"/>
      <c r="I8" s="3"/>
      <c r="J8" s="4"/>
      <c r="K8" s="3"/>
    </row>
    <row r="9" spans="1:11" ht="60" x14ac:dyDescent="0.25">
      <c r="A9" s="21" t="s">
        <v>8</v>
      </c>
      <c r="B9" s="22" t="s">
        <v>24</v>
      </c>
      <c r="C9" s="23">
        <v>0.2</v>
      </c>
      <c r="D9" s="24">
        <f t="shared" si="0"/>
        <v>600000</v>
      </c>
      <c r="E9" s="3"/>
      <c r="F9" s="5"/>
      <c r="G9" s="3"/>
      <c r="H9" s="3"/>
      <c r="I9" s="3"/>
      <c r="J9" s="4"/>
      <c r="K9" s="3"/>
    </row>
    <row r="10" spans="1:11" ht="90" x14ac:dyDescent="0.25">
      <c r="A10" s="21" t="s">
        <v>19</v>
      </c>
      <c r="B10" s="22" t="s">
        <v>21</v>
      </c>
      <c r="C10" s="23">
        <v>0.25</v>
      </c>
      <c r="D10" s="24">
        <f t="shared" si="0"/>
        <v>750000</v>
      </c>
      <c r="E10" s="3"/>
      <c r="F10" s="5"/>
      <c r="G10" s="3"/>
      <c r="H10" s="3"/>
      <c r="I10" s="3"/>
      <c r="J10" s="4"/>
      <c r="K10" s="3"/>
    </row>
    <row r="11" spans="1:11" ht="45" x14ac:dyDescent="0.25">
      <c r="A11" s="21" t="s">
        <v>13</v>
      </c>
      <c r="B11" s="22" t="s">
        <v>20</v>
      </c>
      <c r="C11" s="23">
        <v>0.04</v>
      </c>
      <c r="D11" s="24">
        <f t="shared" si="0"/>
        <v>120000</v>
      </c>
    </row>
    <row r="12" spans="1:11" ht="60" x14ac:dyDescent="0.25">
      <c r="A12" s="21" t="s">
        <v>14</v>
      </c>
      <c r="B12" s="22" t="s">
        <v>22</v>
      </c>
      <c r="C12" s="23">
        <v>0.05</v>
      </c>
      <c r="D12" s="24">
        <f t="shared" si="0"/>
        <v>150000</v>
      </c>
    </row>
    <row r="13" spans="1:11" x14ac:dyDescent="0.25">
      <c r="A13" s="21"/>
      <c r="B13" s="25"/>
      <c r="C13" s="23"/>
      <c r="D13" s="24"/>
    </row>
    <row r="14" spans="1:11" x14ac:dyDescent="0.25">
      <c r="A14" s="21" t="s">
        <v>12</v>
      </c>
      <c r="B14" s="25"/>
      <c r="C14" s="23">
        <f>SUM(C6:C13)</f>
        <v>1</v>
      </c>
      <c r="D14" s="24">
        <f>SUM(D6:D12)</f>
        <v>3000000</v>
      </c>
    </row>
    <row r="15" spans="1:11" x14ac:dyDescent="0.25">
      <c r="C15" s="1"/>
      <c r="D15" s="2"/>
    </row>
    <row r="16" spans="1:11" x14ac:dyDescent="0.25">
      <c r="C16" s="1"/>
      <c r="D16" s="2"/>
    </row>
    <row r="17" spans="3:4" x14ac:dyDescent="0.25">
      <c r="C17" s="1"/>
      <c r="D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1-2 Meses</vt:lpstr>
      <vt:lpstr>3 Meses</vt:lpstr>
      <vt:lpstr>6 Meses</vt:lpstr>
      <vt:lpstr>12 Meses</vt:lpstr>
      <vt:lpstr>Explosivo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Outlook</cp:lastModifiedBy>
  <cp:lastPrinted>2026-04-01T17:58:46Z</cp:lastPrinted>
  <dcterms:created xsi:type="dcterms:W3CDTF">2026-03-31T18:08:04Z</dcterms:created>
  <dcterms:modified xsi:type="dcterms:W3CDTF">2026-04-01T19:20:19Z</dcterms:modified>
</cp:coreProperties>
</file>