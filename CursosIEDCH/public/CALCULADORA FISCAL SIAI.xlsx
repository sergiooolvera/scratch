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entas 1\Downloads\"/>
    </mc:Choice>
  </mc:AlternateContent>
  <xr:revisionPtr revIDLastSave="0" documentId="13_ncr:1_{EC72B2E3-487A-49BC-A085-8430A92FD0F1}" xr6:coauthVersionLast="47" xr6:coauthVersionMax="47" xr10:uidLastSave="{00000000-0000-0000-0000-000000000000}"/>
  <bookViews>
    <workbookView xWindow="4785" yWindow="3435" windowWidth="11415" windowHeight="15375" xr2:uid="{00000000-000D-0000-FFFF-FFFF00000000}"/>
  </bookViews>
  <sheets>
    <sheet name="Simulador" sheetId="1" r:id="rId1"/>
  </sheets>
  <calcPr calcId="181029"/>
</workbook>
</file>

<file path=xl/calcChain.xml><?xml version="1.0" encoding="utf-8"?>
<calcChain xmlns="http://schemas.openxmlformats.org/spreadsheetml/2006/main">
  <c r="B16" i="1" l="1"/>
  <c r="B15" i="1"/>
  <c r="E19" i="1"/>
  <c r="D19" i="1"/>
  <c r="C19" i="1"/>
  <c r="B19" i="1"/>
  <c r="E18" i="1"/>
  <c r="E20" i="1" s="1"/>
  <c r="D16" i="1"/>
  <c r="E12" i="1"/>
  <c r="D12" i="1"/>
  <c r="C12" i="1"/>
  <c r="B12" i="1"/>
  <c r="D11" i="1"/>
  <c r="C11" i="1"/>
  <c r="B11" i="1"/>
  <c r="E10" i="1"/>
  <c r="E11" i="1" s="1"/>
  <c r="D10" i="1"/>
  <c r="D13" i="1" s="1"/>
  <c r="D14" i="1" s="1"/>
  <c r="D15" i="1" s="1"/>
  <c r="C10" i="1"/>
  <c r="C13" i="1" s="1"/>
  <c r="C14" i="1" s="1"/>
  <c r="C15" i="1" s="1"/>
  <c r="B10" i="1"/>
  <c r="B13" i="1" s="1"/>
  <c r="B14" i="1" s="1"/>
  <c r="C16" i="1" l="1"/>
  <c r="C17" i="1" s="1"/>
  <c r="C21" i="1" s="1"/>
  <c r="C18" i="1"/>
  <c r="C20" i="1" s="1"/>
  <c r="D17" i="1"/>
  <c r="D18" i="1"/>
  <c r="D20" i="1" s="1"/>
  <c r="B18" i="1"/>
  <c r="B20" i="1" s="1"/>
  <c r="B17" i="1"/>
  <c r="B21" i="1" s="1"/>
  <c r="E13" i="1"/>
  <c r="E14" i="1" s="1"/>
  <c r="E15" i="1" s="1"/>
  <c r="D21" i="1" l="1"/>
  <c r="E16" i="1"/>
  <c r="E17" i="1" s="1"/>
  <c r="E21" i="1" s="1"/>
</calcChain>
</file>

<file path=xl/sharedStrings.xml><?xml version="1.0" encoding="utf-8"?>
<sst xmlns="http://schemas.openxmlformats.org/spreadsheetml/2006/main" count="21" uniqueCount="21">
  <si>
    <t>SIMULADOR DE RETENCIONES Y PAGOS</t>
  </si>
  <si>
    <t>VARIABLES DE ENTRADA</t>
  </si>
  <si>
    <t>Costo del Curso (MXN)</t>
  </si>
  <si>
    <t>Número de Alumnos</t>
  </si>
  <si>
    <t>CONCEPTOS / RUBROS</t>
  </si>
  <si>
    <t>RESICO (P.
FÍSICA)</t>
  </si>
  <si>
    <t>ACTIVIDAD
PROFESIONAL</t>
  </si>
  <si>
    <t>ASIMILADOS A
SALARIOS</t>
  </si>
  <si>
    <t>PERSONA MORAL (S.A.
/ S.C.)</t>
  </si>
  <si>
    <t>Ingreso Bruto Total</t>
  </si>
  <si>
    <t>(-) Comisión Stripe Variable</t>
  </si>
  <si>
    <t>(-) Comisión Stripe Fija</t>
  </si>
  <si>
    <t>Total Libre en Banco (Neto)</t>
  </si>
  <si>
    <t>Comisión para el Instructor (50%)</t>
  </si>
  <si>
    <t>Subtotal Neto (Antes de IVA)</t>
  </si>
  <si>
    <t>(+) IVA Trasladado (16%)</t>
  </si>
  <si>
    <t>Total Bruto (Subtotal + IVA)</t>
  </si>
  <si>
    <t>(-) Retención de ISR</t>
  </si>
  <si>
    <t>(-) Retención de IVA</t>
  </si>
  <si>
    <t>Total de Retenciones</t>
  </si>
  <si>
    <t>Pago Neto a Depositar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</si>
</sst>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&quot;-&quot;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1F4E7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85" zoomScaleNormal="85" workbookViewId="0">
      <selection activeCell="B9" sqref="B9"/>
    </sheetView>
  </sheetViews>
  <sheetFormatPr baseColWidth="10" defaultColWidth="9.140625" defaultRowHeight="15" x14ac:dyDescent="0.25"/>
  <cols>
    <col min="1" max="1" width="34" customWidth="1"/>
    <col min="2" max="4" width="18" customWidth="1"/>
    <col min="5" max="5" width="24" customWidth="1"/>
  </cols>
  <sheetData>
    <row r="1" spans="1:5" ht="21" x14ac:dyDescent="0.35">
      <c r="A1" s="1" t="s">
        <v>0</v>
      </c>
    </row>
    <row r="4" spans="1:5" x14ac:dyDescent="0.25">
      <c r="A4" s="2" t="s">
        <v>1</v>
      </c>
    </row>
    <row r="5" spans="1:5" x14ac:dyDescent="0.25">
      <c r="A5" t="s">
        <v>2</v>
      </c>
      <c r="B5" s="3">
        <v>1000</v>
      </c>
    </row>
    <row r="6" spans="1:5" x14ac:dyDescent="0.25">
      <c r="A6" t="s">
        <v>3</v>
      </c>
      <c r="B6" s="4">
        <v>20</v>
      </c>
    </row>
    <row r="9" spans="1:5" ht="30" customHeight="1" x14ac:dyDescent="0.25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</row>
    <row r="10" spans="1:5" ht="20.100000000000001" customHeight="1" x14ac:dyDescent="0.25">
      <c r="A10" s="7" t="s">
        <v>9</v>
      </c>
      <c r="B10" s="8">
        <f>$B$5*$B$6</f>
        <v>20000</v>
      </c>
      <c r="C10" s="8">
        <f>$B$5*$B$6</f>
        <v>20000</v>
      </c>
      <c r="D10" s="8">
        <f>$B$5*$B$6</f>
        <v>20000</v>
      </c>
      <c r="E10" s="8">
        <f>$B$5*$B$6</f>
        <v>20000</v>
      </c>
    </row>
    <row r="11" spans="1:5" ht="20.100000000000001" customHeight="1" x14ac:dyDescent="0.25">
      <c r="A11" s="9" t="s">
        <v>10</v>
      </c>
      <c r="B11" s="10">
        <f>B10*0.036*1.16</f>
        <v>835.19999999999993</v>
      </c>
      <c r="C11" s="10">
        <f>C10*0.036*1.16</f>
        <v>835.19999999999993</v>
      </c>
      <c r="D11" s="10">
        <f>D10*0.036*1.16</f>
        <v>835.19999999999993</v>
      </c>
      <c r="E11" s="10">
        <f>E10*0.036*1.16</f>
        <v>835.19999999999993</v>
      </c>
    </row>
    <row r="12" spans="1:5" ht="20.100000000000001" customHeight="1" x14ac:dyDescent="0.25">
      <c r="A12" s="9" t="s">
        <v>11</v>
      </c>
      <c r="B12" s="10">
        <f>$B$6*3*1.16</f>
        <v>69.599999999999994</v>
      </c>
      <c r="C12" s="10">
        <f>$B$6*3*1.16</f>
        <v>69.599999999999994</v>
      </c>
      <c r="D12" s="10">
        <f>$B$6*3*1.16</f>
        <v>69.599999999999994</v>
      </c>
      <c r="E12" s="10">
        <f>$B$6*3*1.16</f>
        <v>69.599999999999994</v>
      </c>
    </row>
    <row r="13" spans="1:5" ht="20.100000000000001" customHeight="1" x14ac:dyDescent="0.25">
      <c r="A13" s="7" t="s">
        <v>12</v>
      </c>
      <c r="B13" s="8">
        <f>B10-B11-B12</f>
        <v>19095.2</v>
      </c>
      <c r="C13" s="8">
        <f>C10-C11-C12</f>
        <v>19095.2</v>
      </c>
      <c r="D13" s="8">
        <f>D10-D11-D12</f>
        <v>19095.2</v>
      </c>
      <c r="E13" s="8">
        <f>E10-E11-E12</f>
        <v>19095.2</v>
      </c>
    </row>
    <row r="14" spans="1:5" ht="20.100000000000001" customHeight="1" x14ac:dyDescent="0.25">
      <c r="A14" s="7" t="s">
        <v>13</v>
      </c>
      <c r="B14" s="8">
        <f>B13*0.5</f>
        <v>9547.6</v>
      </c>
      <c r="C14" s="8">
        <f>C13*0.5</f>
        <v>9547.6</v>
      </c>
      <c r="D14" s="8">
        <f>D13*0.5</f>
        <v>9547.6</v>
      </c>
      <c r="E14" s="8">
        <f>E13*0.5</f>
        <v>9547.6</v>
      </c>
    </row>
    <row r="15" spans="1:5" ht="20.100000000000001" customHeight="1" x14ac:dyDescent="0.25">
      <c r="A15" s="7" t="s">
        <v>14</v>
      </c>
      <c r="B15" s="8">
        <f>B14/1.16</f>
        <v>8230.6896551724149</v>
      </c>
      <c r="C15" s="8">
        <f>C14/1.16</f>
        <v>8230.6896551724149</v>
      </c>
      <c r="D15" s="8">
        <f>D14</f>
        <v>9547.6</v>
      </c>
      <c r="E15" s="8">
        <f>E14/1.16</f>
        <v>8230.6896551724149</v>
      </c>
    </row>
    <row r="16" spans="1:5" ht="20.100000000000001" customHeight="1" x14ac:dyDescent="0.25">
      <c r="A16" s="9" t="s">
        <v>15</v>
      </c>
      <c r="B16" s="10">
        <f>B15*0.16</f>
        <v>1316.9103448275864</v>
      </c>
      <c r="C16" s="10">
        <f>C15*0.16</f>
        <v>1316.9103448275864</v>
      </c>
      <c r="D16" s="10">
        <f>0</f>
        <v>0</v>
      </c>
      <c r="E16" s="10">
        <f>E15*0.16</f>
        <v>1316.9103448275864</v>
      </c>
    </row>
    <row r="17" spans="1:5" ht="20.100000000000001" customHeight="1" x14ac:dyDescent="0.25">
      <c r="A17" s="7" t="s">
        <v>16</v>
      </c>
      <c r="B17" s="8">
        <f>B15+B16</f>
        <v>9547.6000000000022</v>
      </c>
      <c r="C17" s="8">
        <f>C15+C16</f>
        <v>9547.6000000000022</v>
      </c>
      <c r="D17" s="8">
        <f>D15+D16</f>
        <v>9547.6</v>
      </c>
      <c r="E17" s="8">
        <f>E15+E16</f>
        <v>9547.6000000000022</v>
      </c>
    </row>
    <row r="18" spans="1:5" ht="20.100000000000001" customHeight="1" x14ac:dyDescent="0.25">
      <c r="A18" s="9" t="s">
        <v>17</v>
      </c>
      <c r="B18" s="10">
        <f>B15*0.0125</f>
        <v>102.88362068965519</v>
      </c>
      <c r="C18" s="10">
        <f>C15*0.1</f>
        <v>823.06896551724151</v>
      </c>
      <c r="D18" s="10">
        <f>D15*0.0615</f>
        <v>587.17740000000003</v>
      </c>
      <c r="E18" s="10">
        <f>0</f>
        <v>0</v>
      </c>
    </row>
    <row r="19" spans="1:5" ht="20.100000000000001" customHeight="1" x14ac:dyDescent="0.25">
      <c r="A19" s="9" t="s">
        <v>18</v>
      </c>
      <c r="B19" s="10">
        <f>0</f>
        <v>0</v>
      </c>
      <c r="C19" s="10">
        <f>0</f>
        <v>0</v>
      </c>
      <c r="D19" s="10">
        <f>0</f>
        <v>0</v>
      </c>
      <c r="E19" s="10">
        <f>0</f>
        <v>0</v>
      </c>
    </row>
    <row r="20" spans="1:5" ht="20.100000000000001" customHeight="1" x14ac:dyDescent="0.25">
      <c r="A20" s="9" t="s">
        <v>19</v>
      </c>
      <c r="B20" s="10">
        <f>SUM(B18:B19)</f>
        <v>102.88362068965519</v>
      </c>
      <c r="C20" s="10">
        <f>SUM(C18:C19)</f>
        <v>823.06896551724151</v>
      </c>
      <c r="D20" s="10">
        <f>SUM(D18:D19)</f>
        <v>587.17740000000003</v>
      </c>
      <c r="E20" s="10">
        <f>SUM(E18:E19)</f>
        <v>0</v>
      </c>
    </row>
    <row r="21" spans="1:5" ht="20.100000000000001" customHeight="1" x14ac:dyDescent="0.25">
      <c r="A21" s="11" t="s">
        <v>20</v>
      </c>
      <c r="B21" s="12">
        <f>B17-B20</f>
        <v>9444.7163793103464</v>
      </c>
      <c r="C21" s="12">
        <f>C17-C20</f>
        <v>8724.5310344827612</v>
      </c>
      <c r="D21" s="12">
        <f>D17-D20</f>
        <v>8960.4225999999999</v>
      </c>
      <c r="E21" s="12">
        <f>E17-E20</f>
        <v>9547.6000000000022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Ventas 1</cp:lastModifiedBy>
  <dcterms:created xsi:type="dcterms:W3CDTF">2026-06-18T21:56:43Z</dcterms:created>
  <dcterms:modified xsi:type="dcterms:W3CDTF">2026-06-18T22:01:11Z</dcterms:modified>
</cp:coreProperties>
</file>