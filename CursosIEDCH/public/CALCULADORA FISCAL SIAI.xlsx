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ergi\.gemini\antigravity\scratch\CursosIEDCH\public\"/>
    </mc:Choice>
  </mc:AlternateContent>
  <xr:revisionPtr revIDLastSave="0" documentId="8_{09DDA787-A620-4656-B32C-84F4BB131F4E}" xr6:coauthVersionLast="47" xr6:coauthVersionMax="47" xr10:uidLastSave="{00000000-0000-0000-0000-000000000000}"/>
  <bookViews>
    <workbookView xWindow="-120" yWindow="-120" windowWidth="20730" windowHeight="11040" tabRatio="592" xr2:uid="{00000000-000D-0000-FFFF-FFFF00000000}"/>
  </bookViews>
  <sheets>
    <sheet name="Simulad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E19" i="1" l="1"/>
  <c r="D19" i="1"/>
  <c r="E18" i="1"/>
  <c r="E20" i="1" s="1"/>
  <c r="D16" i="1"/>
  <c r="E12" i="1"/>
  <c r="D12" i="1"/>
  <c r="C12" i="1"/>
  <c r="B12" i="1"/>
  <c r="E10" i="1"/>
  <c r="E11" i="1" s="1"/>
  <c r="D10" i="1"/>
  <c r="C10" i="1"/>
  <c r="C11" i="1" s="1"/>
  <c r="B10" i="1"/>
  <c r="B11" i="1" s="1"/>
  <c r="C13" i="1" l="1"/>
  <c r="C14" i="1" s="1"/>
  <c r="C15" i="1" s="1"/>
  <c r="D11" i="1"/>
  <c r="D13" i="1" s="1"/>
  <c r="D14" i="1" s="1"/>
  <c r="D15" i="1" s="1"/>
  <c r="D17" i="1" s="1"/>
  <c r="B13" i="1"/>
  <c r="B14" i="1" s="1"/>
  <c r="B15" i="1" s="1"/>
  <c r="E13" i="1"/>
  <c r="E14" i="1" s="1"/>
  <c r="E15" i="1" s="1"/>
  <c r="B16" i="1" l="1"/>
  <c r="B17" i="1" s="1"/>
  <c r="B18" i="1"/>
  <c r="B19" i="1"/>
  <c r="C16" i="1"/>
  <c r="C17" i="1" s="1"/>
  <c r="C19" i="1"/>
  <c r="D18" i="1"/>
  <c r="D20" i="1" s="1"/>
  <c r="D21" i="1" s="1"/>
  <c r="C18" i="1"/>
  <c r="C20" i="1" s="1"/>
  <c r="C21" i="1" s="1"/>
  <c r="E16" i="1"/>
  <c r="E17" i="1" s="1"/>
  <c r="E21" i="1" s="1"/>
  <c r="B20" i="1" l="1"/>
  <c r="B21" i="1" s="1"/>
</calcChain>
</file>

<file path=xl/sharedStrings.xml><?xml version="1.0" encoding="utf-8"?>
<sst xmlns="http://schemas.openxmlformats.org/spreadsheetml/2006/main" count="22" uniqueCount="22">
  <si>
    <t>SIMULADOR DE RETENCIONES Y PAGOS</t>
  </si>
  <si>
    <t>VARIABLES DE ENTRADA</t>
  </si>
  <si>
    <t>Costo del Curso (MXN)</t>
  </si>
  <si>
    <t>Número de Alumnos</t>
  </si>
  <si>
    <t>CONCEPTOS / RUBROS</t>
  </si>
  <si>
    <t>ACTIVIDAD
PROFESIONAL</t>
  </si>
  <si>
    <t>ASIMILADOS A
SALARIOS</t>
  </si>
  <si>
    <t>PERSONA MORAL (S.A.
/ S.C.)</t>
  </si>
  <si>
    <t>Ingreso Bruto Total</t>
  </si>
  <si>
    <t>(-) Comisión Stripe Variable</t>
  </si>
  <si>
    <t>(-) Comisión Stripe Fija</t>
  </si>
  <si>
    <t>Total Libre en Banco (Neto)</t>
  </si>
  <si>
    <t>Comisión para el Instructor (50%)</t>
  </si>
  <si>
    <t>Subtotal Neto (Antes de IVA)</t>
  </si>
  <si>
    <t>(+) IVA Trasladado (16%)</t>
  </si>
  <si>
    <t>Total Bruto (Subtotal + IVA)</t>
  </si>
  <si>
    <t>(-) Retención de ISR</t>
  </si>
  <si>
    <t>(-) Retención de IVA</t>
  </si>
  <si>
    <t>Total de Retenciones</t>
  </si>
  <si>
    <t>Pago Neto a Depositar</t>
  </si>
  <si>
    <t xml:space="preserve">RESICO </t>
  </si>
  <si>
    <t>&lt;&lt;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</si>
</sst>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;\(\$#,##0.00\);&quot;-&quot;"/>
  </numFmts>
  <fonts count="7" x14ac:knownFonts="1">
    <font>
      <sz val="11"/>
      <color theme="1"/>
      <name val="Calibri"/>
      <family val="2"/>
      <scheme val="minor"/>
    </font>
    <font>
      <b/>
      <sz val="16"/>
      <color rgb="FF1F4E78"/>
      <name val="Calibri"/>
      <family val="2"/>
    </font>
    <font>
      <b/>
      <sz val="11"/>
      <color rgb="FF1F4E78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double">
        <color rgb="FF1F4E78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164" fontId="3" fillId="2" borderId="1" xfId="0" applyNumberFormat="1" applyFont="1" applyFill="1" applyBorder="1" applyAlignment="1">
      <alignment horizontal="right" vertical="center"/>
    </xf>
    <xf numFmtId="3" fontId="3" fillId="2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4" fontId="3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right" vertical="center"/>
    </xf>
    <xf numFmtId="0" fontId="3" fillId="4" borderId="2" xfId="0" applyFont="1" applyFill="1" applyBorder="1" applyAlignment="1">
      <alignment horizontal="left" vertical="center"/>
    </xf>
    <xf numFmtId="164" fontId="3" fillId="4" borderId="2" xfId="0" applyNumberFormat="1" applyFont="1" applyFill="1" applyBorder="1" applyAlignment="1">
      <alignment horizontal="right" vertical="center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E29"/>
  <sheetViews>
    <sheetView tabSelected="1" zoomScale="85" zoomScaleNormal="85" workbookViewId="0">
      <selection activeCell="D14" sqref="D14"/>
    </sheetView>
  </sheetViews>
  <sheetFormatPr baseColWidth="10" defaultColWidth="9.140625" defaultRowHeight="15" outlineLevelRow="1" x14ac:dyDescent="0.25"/>
  <cols>
    <col min="1" max="1" width="34" customWidth="1"/>
    <col min="2" max="4" width="18" customWidth="1"/>
    <col min="5" max="5" width="24" customWidth="1"/>
  </cols>
  <sheetData>
    <row r="1" spans="1:5" ht="21" x14ac:dyDescent="0.35">
      <c r="A1" s="1" t="s">
        <v>0</v>
      </c>
    </row>
    <row r="3" spans="1:5" x14ac:dyDescent="0.25">
      <c r="B3" s="13">
        <v>1000</v>
      </c>
    </row>
    <row r="4" spans="1:5" x14ac:dyDescent="0.25">
      <c r="A4" s="2" t="s">
        <v>1</v>
      </c>
      <c r="B4" s="13">
        <f>B3*0.16</f>
        <v>160</v>
      </c>
    </row>
    <row r="5" spans="1:5" x14ac:dyDescent="0.25">
      <c r="A5" t="s">
        <v>2</v>
      </c>
      <c r="B5" s="3">
        <f>B3+B4</f>
        <v>1160</v>
      </c>
    </row>
    <row r="6" spans="1:5" x14ac:dyDescent="0.25">
      <c r="A6" t="s">
        <v>3</v>
      </c>
      <c r="B6" s="4">
        <v>20</v>
      </c>
    </row>
    <row r="9" spans="1:5" ht="30" customHeight="1" x14ac:dyDescent="0.25">
      <c r="A9" s="5" t="s">
        <v>4</v>
      </c>
      <c r="B9" s="6" t="s">
        <v>20</v>
      </c>
      <c r="C9" s="6" t="s">
        <v>5</v>
      </c>
      <c r="D9" s="6" t="s">
        <v>6</v>
      </c>
      <c r="E9" s="6" t="s">
        <v>7</v>
      </c>
    </row>
    <row r="10" spans="1:5" ht="20.100000000000001" customHeight="1" x14ac:dyDescent="0.25">
      <c r="A10" s="7" t="s">
        <v>8</v>
      </c>
      <c r="B10" s="8">
        <f>$B$5*$B$6</f>
        <v>23200</v>
      </c>
      <c r="C10" s="8">
        <f>$B$5*$B$6</f>
        <v>23200</v>
      </c>
      <c r="D10" s="8">
        <f>$B$5*$B$6</f>
        <v>23200</v>
      </c>
      <c r="E10" s="8">
        <f>$B$5*$B$6</f>
        <v>23200</v>
      </c>
    </row>
    <row r="11" spans="1:5" ht="20.100000000000001" customHeight="1" x14ac:dyDescent="0.25">
      <c r="A11" s="9" t="s">
        <v>9</v>
      </c>
      <c r="B11" s="10">
        <f>B10*0.036*1.16</f>
        <v>968.83199999999988</v>
      </c>
      <c r="C11" s="10">
        <f>C10*0.036*1.16</f>
        <v>968.83199999999988</v>
      </c>
      <c r="D11" s="10">
        <f>D10*0.036*1.16</f>
        <v>968.83199999999988</v>
      </c>
      <c r="E11" s="10">
        <f>E10*0.036*1.16</f>
        <v>968.83199999999988</v>
      </c>
    </row>
    <row r="12" spans="1:5" ht="20.100000000000001" customHeight="1" x14ac:dyDescent="0.25">
      <c r="A12" s="9" t="s">
        <v>10</v>
      </c>
      <c r="B12" s="10">
        <f>$B$6*3*1.16</f>
        <v>69.599999999999994</v>
      </c>
      <c r="C12" s="10">
        <f>$B$6*3*1.16</f>
        <v>69.599999999999994</v>
      </c>
      <c r="D12" s="10">
        <f>$B$6*3*1.16</f>
        <v>69.599999999999994</v>
      </c>
      <c r="E12" s="10">
        <f>$B$6*3*1.16</f>
        <v>69.599999999999994</v>
      </c>
    </row>
    <row r="13" spans="1:5" ht="20.100000000000001" customHeight="1" outlineLevel="1" x14ac:dyDescent="0.25">
      <c r="A13" s="7" t="s">
        <v>11</v>
      </c>
      <c r="B13" s="8">
        <f>B10-B11-B12</f>
        <v>22161.568000000003</v>
      </c>
      <c r="C13" s="8">
        <f>C10-C11-C12</f>
        <v>22161.568000000003</v>
      </c>
      <c r="D13" s="8">
        <f>D10-D11-D12</f>
        <v>22161.568000000003</v>
      </c>
      <c r="E13" s="8">
        <f>E10-E11-E12</f>
        <v>22161.568000000003</v>
      </c>
    </row>
    <row r="14" spans="1:5" ht="20.100000000000001" customHeight="1" outlineLevel="1" x14ac:dyDescent="0.25">
      <c r="A14" s="7" t="s">
        <v>12</v>
      </c>
      <c r="B14" s="8">
        <f>B13*0.5</f>
        <v>11080.784000000001</v>
      </c>
      <c r="C14" s="8">
        <f>C13*0.5</f>
        <v>11080.784000000001</v>
      </c>
      <c r="D14" s="8">
        <f>D13*0.5</f>
        <v>11080.784000000001</v>
      </c>
      <c r="E14" s="8">
        <f>E13*0.5</f>
        <v>11080.784000000001</v>
      </c>
    </row>
    <row r="15" spans="1:5" ht="20.100000000000001" customHeight="1" x14ac:dyDescent="0.25">
      <c r="A15" s="7" t="s">
        <v>13</v>
      </c>
      <c r="B15" s="8">
        <f>B14/1.16</f>
        <v>9552.4000000000015</v>
      </c>
      <c r="C15" s="8">
        <f>C14/1.16</f>
        <v>9552.4000000000015</v>
      </c>
      <c r="D15" s="8">
        <f>D14</f>
        <v>11080.784000000001</v>
      </c>
      <c r="E15" s="8">
        <f>E14/1.16</f>
        <v>9552.4000000000015</v>
      </c>
    </row>
    <row r="16" spans="1:5" ht="20.100000000000001" customHeight="1" x14ac:dyDescent="0.25">
      <c r="A16" s="9" t="s">
        <v>14</v>
      </c>
      <c r="B16" s="10">
        <f>B15*0.16</f>
        <v>1528.3840000000002</v>
      </c>
      <c r="C16" s="10">
        <f>C15*0.16</f>
        <v>1528.3840000000002</v>
      </c>
      <c r="D16" s="10">
        <f>0</f>
        <v>0</v>
      </c>
      <c r="E16" s="10">
        <f>E15*0.16</f>
        <v>1528.3840000000002</v>
      </c>
    </row>
    <row r="17" spans="1:5" ht="20.100000000000001" customHeight="1" x14ac:dyDescent="0.25">
      <c r="A17" s="7" t="s">
        <v>15</v>
      </c>
      <c r="B17" s="8">
        <f>B15+B16</f>
        <v>11080.784000000001</v>
      </c>
      <c r="C17" s="8">
        <f>C15+C16</f>
        <v>11080.784000000001</v>
      </c>
      <c r="D17" s="8">
        <f>D15+D16</f>
        <v>11080.784000000001</v>
      </c>
      <c r="E17" s="8">
        <f>E15+E16</f>
        <v>11080.784000000001</v>
      </c>
    </row>
    <row r="18" spans="1:5" ht="20.100000000000001" customHeight="1" x14ac:dyDescent="0.25">
      <c r="A18" s="9" t="s">
        <v>16</v>
      </c>
      <c r="B18" s="10">
        <f>B15*0.0125</f>
        <v>119.40500000000003</v>
      </c>
      <c r="C18" s="10">
        <f>C15*0.1</f>
        <v>955.24000000000024</v>
      </c>
      <c r="D18" s="10">
        <f>D15*0.0615</f>
        <v>681.4682160000001</v>
      </c>
      <c r="E18" s="10">
        <f>0</f>
        <v>0</v>
      </c>
    </row>
    <row r="19" spans="1:5" ht="20.100000000000001" customHeight="1" x14ac:dyDescent="0.25">
      <c r="A19" s="9" t="s">
        <v>17</v>
      </c>
      <c r="B19" s="10">
        <f>B15*10.6667%</f>
        <v>1018.9258508000003</v>
      </c>
      <c r="C19" s="10">
        <f>C15*10.6667%</f>
        <v>1018.9258508000003</v>
      </c>
      <c r="D19" s="10">
        <f>0</f>
        <v>0</v>
      </c>
      <c r="E19" s="10">
        <f>0</f>
        <v>0</v>
      </c>
    </row>
    <row r="20" spans="1:5" ht="20.100000000000001" customHeight="1" x14ac:dyDescent="0.25">
      <c r="A20" s="9" t="s">
        <v>18</v>
      </c>
      <c r="B20" s="10">
        <f>SUM(B18:B19)</f>
        <v>1138.3308508000002</v>
      </c>
      <c r="C20" s="10">
        <f>SUM(C18:C19)</f>
        <v>1974.1658508000005</v>
      </c>
      <c r="D20" s="10">
        <f>SUM(D18:D19)</f>
        <v>681.4682160000001</v>
      </c>
      <c r="E20" s="10">
        <f>SUM(E18:E19)</f>
        <v>0</v>
      </c>
    </row>
    <row r="21" spans="1:5" ht="20.100000000000001" customHeight="1" x14ac:dyDescent="0.25">
      <c r="A21" s="11" t="s">
        <v>19</v>
      </c>
      <c r="B21" s="12">
        <f>B17-B20</f>
        <v>9942.4531492000006</v>
      </c>
      <c r="C21" s="12">
        <f>C17-C20</f>
        <v>9106.6181492000014</v>
      </c>
      <c r="D21" s="12">
        <f>D17-D20</f>
        <v>10399.315784000002</v>
      </c>
      <c r="E21" s="12">
        <f>E17-E20</f>
        <v>11080.784000000001</v>
      </c>
    </row>
    <row r="29" spans="1:5" x14ac:dyDescent="0.25">
      <c r="D29" t="s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Simulador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 Outlook</cp:lastModifiedBy>
  <dcterms:created xsi:type="dcterms:W3CDTF">2026-06-18T21:56:43Z</dcterms:created>
  <dcterms:modified xsi:type="dcterms:W3CDTF">2026-06-23T02:01:32Z</dcterms:modified>
</cp:coreProperties>
</file>