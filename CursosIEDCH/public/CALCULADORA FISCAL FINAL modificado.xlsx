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. UMB JUAN MANUEL PLATAFORMAS DIGITALES\"/>
    </mc:Choice>
  </mc:AlternateContent>
  <xr:revisionPtr revIDLastSave="0" documentId="13_ncr:1_{C030BEA1-90FF-4C8C-B509-E9CA84F3D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dora Fiscal Simplific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B11" i="1"/>
  <c r="F11" i="1"/>
  <c r="F17" i="1" s="1"/>
  <c r="E11" i="1"/>
  <c r="E17" i="1" s="1"/>
  <c r="D11" i="1"/>
  <c r="D17" i="1" s="1"/>
  <c r="C11" i="1"/>
  <c r="C17" i="1" s="1"/>
  <c r="B17" i="1" l="1"/>
  <c r="B19" i="1" s="1"/>
  <c r="B21" i="1" s="1"/>
  <c r="B23" i="1" s="1"/>
  <c r="B12" i="1"/>
  <c r="B13" i="1" s="1"/>
  <c r="B14" i="1" s="1"/>
  <c r="B16" i="1" s="1"/>
  <c r="F19" i="1"/>
  <c r="F21" i="1" s="1"/>
  <c r="F23" i="1" s="1"/>
  <c r="F27" i="1" s="1"/>
  <c r="F12" i="1"/>
  <c r="E12" i="1"/>
  <c r="E19" i="1"/>
  <c r="E21" i="1" s="1"/>
  <c r="E23" i="1" s="1"/>
  <c r="C12" i="1"/>
  <c r="C19" i="1"/>
  <c r="C21" i="1" s="1"/>
  <c r="C23" i="1" s="1"/>
  <c r="C27" i="1" s="1"/>
  <c r="D19" i="1"/>
  <c r="D21" i="1" s="1"/>
  <c r="D23" i="1" s="1"/>
  <c r="D27" i="1" s="1"/>
  <c r="D12" i="1"/>
  <c r="B26" i="1" l="1"/>
  <c r="B27" i="1"/>
  <c r="B24" i="1"/>
  <c r="B25" i="1" s="1"/>
  <c r="E27" i="1"/>
  <c r="E24" i="1"/>
  <c r="F24" i="1"/>
  <c r="F25" i="1" s="1"/>
  <c r="F26" i="1" s="1"/>
  <c r="F13" i="1"/>
  <c r="F14" i="1"/>
  <c r="F16" i="1" s="1"/>
  <c r="E13" i="1"/>
  <c r="E14" i="1"/>
  <c r="E16" i="1" s="1"/>
  <c r="C13" i="1"/>
  <c r="C14" i="1" s="1"/>
  <c r="C16" i="1" s="1"/>
  <c r="C24" i="1"/>
  <c r="C25" i="1" s="1"/>
  <c r="C26" i="1" s="1"/>
  <c r="C29" i="1" s="1"/>
  <c r="D24" i="1"/>
  <c r="D25" i="1" s="1"/>
  <c r="D26" i="1" s="1"/>
  <c r="D29" i="1" s="1"/>
  <c r="D30" i="1" s="1"/>
  <c r="D13" i="1"/>
  <c r="D14" i="1" s="1"/>
  <c r="D16" i="1" s="1"/>
  <c r="B29" i="1" l="1"/>
  <c r="B30" i="1" s="1"/>
  <c r="F29" i="1"/>
  <c r="F30" i="1" s="1"/>
  <c r="C30" i="1"/>
  <c r="E25" i="1" l="1"/>
  <c r="E26" i="1" s="1"/>
  <c r="E29" i="1" s="1"/>
  <c r="E30" i="1" s="1"/>
</calcChain>
</file>

<file path=xl/sharedStrings.xml><?xml version="1.0" encoding="utf-8"?>
<sst xmlns="http://schemas.openxmlformats.org/spreadsheetml/2006/main" count="29" uniqueCount="28">
  <si>
    <t>SIMULADOR DE RETENCIONES Y PAGOS (SIN EXPLICACIONES)</t>
  </si>
  <si>
    <t>Incluye regímenes de personas físicas y la opción de Instructor como Persona Moral</t>
  </si>
  <si>
    <t>Costo del Curso (MXN)</t>
  </si>
  <si>
    <t>Número de Alumnos</t>
  </si>
  <si>
    <t>CONCEPTOS / RUBROS</t>
  </si>
  <si>
    <t>Ingreso Bruto Total</t>
  </si>
  <si>
    <t>(-) Comisión Stripe Variable</t>
  </si>
  <si>
    <t>(-) Comisión Stripe Fija</t>
  </si>
  <si>
    <t>Total Libre en Banco (Neto)</t>
  </si>
  <si>
    <t>Comisión para el Instructor (50%)</t>
  </si>
  <si>
    <t>(+) IVA Trasladado (16%)</t>
  </si>
  <si>
    <t>Total Bruto (Subtotal + IVA)</t>
  </si>
  <si>
    <t>(-) Retención de ISR</t>
  </si>
  <si>
    <t>(-) Retención de IVA</t>
  </si>
  <si>
    <t>Total de Retenciones</t>
  </si>
  <si>
    <t>Pago Neto a Depositar</t>
  </si>
  <si>
    <t xml:space="preserve">VARIABLES DE ENTRADA </t>
  </si>
  <si>
    <t>Desglose de pago instructor</t>
  </si>
  <si>
    <t>Importe subtotal</t>
  </si>
  <si>
    <t>IVA pagado al instructor</t>
  </si>
  <si>
    <t>Desglose de importe total</t>
  </si>
  <si>
    <t>Total recibido</t>
  </si>
  <si>
    <t>PLATAFORMA P MORAL CON RFC</t>
  </si>
  <si>
    <t>PLATAFORMA P MORAL SIN RFC</t>
  </si>
  <si>
    <t>ACTIVIDADES EMPRESARIALES Y PLATAFORMAS DIGITALES</t>
  </si>
  <si>
    <t>ACTIVIDAD EMPRESARIAL Y PROFESIONA</t>
  </si>
  <si>
    <t>PLATAFORMA PERSONAS FISICAS CON RFC</t>
  </si>
  <si>
    <t>PLATAFORMA PERSONAS FISICAS SIN RFC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</si>
</sst>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Segoe UI"/>
      <family val="2"/>
    </font>
    <font>
      <i/>
      <sz val="10"/>
      <color rgb="FF595959"/>
      <name val="Segoe UI"/>
      <family val="2"/>
    </font>
    <font>
      <b/>
      <sz val="12"/>
      <color rgb="FF1F4E78"/>
      <name val="Segoe UI"/>
      <family val="2"/>
    </font>
    <font>
      <b/>
      <sz val="11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E9EDF4"/>
        <bgColor rgb="FFE9EDF4"/>
      </patternFill>
    </fill>
    <fill>
      <patternFill patternType="solid">
        <fgColor rgb="FFF2F4F7"/>
        <bgColor rgb="FFF2F4F7"/>
      </patternFill>
    </fill>
    <fill>
      <patternFill patternType="solid">
        <fgColor rgb="FFFFFF00"/>
        <bgColor rgb="FFF2F4F7"/>
      </patternFill>
    </fill>
    <fill>
      <patternFill patternType="solid">
        <fgColor rgb="FFFFFF00"/>
        <bgColor rgb="FFE9EDF4"/>
      </patternFill>
    </fill>
    <fill>
      <patternFill patternType="solid">
        <fgColor rgb="FF92D050"/>
        <bgColor rgb="FFE9EDF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1F4E78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/>
    <xf numFmtId="3" fontId="4" fillId="2" borderId="1" xfId="0" applyNumberFormat="1" applyFont="1" applyFill="1" applyBorder="1"/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4" fontId="4" fillId="7" borderId="2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1"/>
  <sheetViews>
    <sheetView tabSelected="1" zoomScaleNormal="100" workbookViewId="0">
      <selection activeCell="I8" sqref="I8"/>
    </sheetView>
  </sheetViews>
  <sheetFormatPr baseColWidth="10" defaultColWidth="9.109375" defaultRowHeight="14.4" x14ac:dyDescent="0.3"/>
  <cols>
    <col min="1" max="1" width="35" customWidth="1"/>
    <col min="2" max="2" width="28" customWidth="1"/>
    <col min="3" max="3" width="28.5546875" customWidth="1"/>
    <col min="4" max="4" width="27.44140625" customWidth="1"/>
    <col min="5" max="5" width="19.6640625" customWidth="1"/>
    <col min="6" max="6" width="17.6640625" customWidth="1"/>
  </cols>
  <sheetData>
    <row r="2" spans="1:6" ht="24.6" x14ac:dyDescent="0.55000000000000004">
      <c r="A2" s="1" t="s">
        <v>0</v>
      </c>
    </row>
    <row r="3" spans="1:6" ht="15" x14ac:dyDescent="0.35">
      <c r="A3" s="2" t="s">
        <v>1</v>
      </c>
    </row>
    <row r="5" spans="1:6" ht="19.2" x14ac:dyDescent="0.45">
      <c r="A5" s="3" t="s">
        <v>16</v>
      </c>
    </row>
    <row r="6" spans="1:6" ht="16.8" x14ac:dyDescent="0.4">
      <c r="A6" t="s">
        <v>2</v>
      </c>
      <c r="B6" s="4">
        <v>1000</v>
      </c>
    </row>
    <row r="7" spans="1:6" ht="16.8" x14ac:dyDescent="0.4">
      <c r="A7" t="s">
        <v>3</v>
      </c>
      <c r="B7" s="5">
        <v>20</v>
      </c>
    </row>
    <row r="8" spans="1:6" x14ac:dyDescent="0.3">
      <c r="C8" t="s">
        <v>24</v>
      </c>
    </row>
    <row r="10" spans="1:6" ht="27.9" customHeight="1" x14ac:dyDescent="0.3">
      <c r="A10" s="6" t="s">
        <v>4</v>
      </c>
      <c r="B10" s="7" t="s">
        <v>25</v>
      </c>
      <c r="C10" s="16" t="s">
        <v>26</v>
      </c>
      <c r="D10" s="16" t="s">
        <v>27</v>
      </c>
      <c r="E10" s="16" t="s">
        <v>22</v>
      </c>
      <c r="F10" s="16" t="s">
        <v>23</v>
      </c>
    </row>
    <row r="11" spans="1:6" ht="21.9" customHeight="1" x14ac:dyDescent="0.3">
      <c r="A11" s="8" t="s">
        <v>5</v>
      </c>
      <c r="B11" s="9">
        <f>$B$6*$B$7</f>
        <v>20000</v>
      </c>
      <c r="C11" s="9">
        <f>$B$6*$B$7</f>
        <v>20000</v>
      </c>
      <c r="D11" s="9">
        <f>$B$6*$B$7</f>
        <v>20000</v>
      </c>
      <c r="E11" s="9">
        <f>$B$6*$B$7</f>
        <v>20000</v>
      </c>
      <c r="F11" s="9">
        <f>$B$6*$B$7</f>
        <v>20000</v>
      </c>
    </row>
    <row r="12" spans="1:6" ht="21.9" customHeight="1" x14ac:dyDescent="0.3">
      <c r="A12" s="8" t="s">
        <v>20</v>
      </c>
      <c r="B12" s="9">
        <f t="shared" ref="B12" si="0">B11/1.16</f>
        <v>17241.37931034483</v>
      </c>
      <c r="C12" s="9">
        <f t="shared" ref="C12:D12" si="1">C11/1.16</f>
        <v>17241.37931034483</v>
      </c>
      <c r="D12" s="9">
        <f t="shared" si="1"/>
        <v>17241.37931034483</v>
      </c>
      <c r="E12" s="9">
        <f t="shared" ref="E12:F12" si="2">E11/1.16</f>
        <v>17241.37931034483</v>
      </c>
      <c r="F12" s="9">
        <f t="shared" si="2"/>
        <v>17241.37931034483</v>
      </c>
    </row>
    <row r="13" spans="1:6" ht="21.9" customHeight="1" x14ac:dyDescent="0.3">
      <c r="A13" s="10" t="s">
        <v>10</v>
      </c>
      <c r="B13" s="11">
        <f t="shared" ref="B13" si="3">B12*0.16</f>
        <v>2758.620689655173</v>
      </c>
      <c r="C13" s="11">
        <f t="shared" ref="C13:D13" si="4">C12*0.16</f>
        <v>2758.620689655173</v>
      </c>
      <c r="D13" s="11">
        <f t="shared" si="4"/>
        <v>2758.620689655173</v>
      </c>
      <c r="E13" s="11">
        <f t="shared" ref="E13:F13" si="5">E12*0.16</f>
        <v>2758.620689655173</v>
      </c>
      <c r="F13" s="11">
        <f t="shared" si="5"/>
        <v>2758.620689655173</v>
      </c>
    </row>
    <row r="14" spans="1:6" ht="21.9" customHeight="1" x14ac:dyDescent="0.3">
      <c r="A14" s="10" t="s">
        <v>21</v>
      </c>
      <c r="B14" s="11">
        <f t="shared" ref="B14" si="6">B12+B13</f>
        <v>20000.000000000004</v>
      </c>
      <c r="C14" s="11">
        <f t="shared" ref="C14:D14" si="7">C12+C13</f>
        <v>20000.000000000004</v>
      </c>
      <c r="D14" s="11">
        <f t="shared" si="7"/>
        <v>20000.000000000004</v>
      </c>
      <c r="E14" s="11">
        <f t="shared" ref="E14:F14" si="8">E12+E13</f>
        <v>20000.000000000004</v>
      </c>
      <c r="F14" s="11">
        <f t="shared" si="8"/>
        <v>20000.000000000004</v>
      </c>
    </row>
    <row r="15" spans="1:6" ht="21.9" customHeight="1" x14ac:dyDescent="0.3">
      <c r="A15" s="10"/>
    </row>
    <row r="16" spans="1:6" ht="21.9" customHeight="1" x14ac:dyDescent="0.3">
      <c r="A16" s="8" t="s">
        <v>11</v>
      </c>
      <c r="B16" s="9">
        <f t="shared" ref="B16" si="9">B14</f>
        <v>20000.000000000004</v>
      </c>
      <c r="C16" s="9">
        <f t="shared" ref="C16:D16" si="10">C14</f>
        <v>20000.000000000004</v>
      </c>
      <c r="D16" s="9">
        <f t="shared" si="10"/>
        <v>20000.000000000004</v>
      </c>
      <c r="E16" s="9">
        <f t="shared" ref="E16:F16" si="11">E14</f>
        <v>20000.000000000004</v>
      </c>
      <c r="F16" s="9">
        <f t="shared" si="11"/>
        <v>20000.000000000004</v>
      </c>
    </row>
    <row r="17" spans="1:6" ht="21.9" customHeight="1" x14ac:dyDescent="0.3">
      <c r="A17" s="10" t="s">
        <v>6</v>
      </c>
      <c r="B17" s="11">
        <f>B11*0.036</f>
        <v>720</v>
      </c>
      <c r="C17" s="11">
        <f t="shared" ref="C17:F17" si="12">C11*0.036</f>
        <v>720</v>
      </c>
      <c r="D17" s="11">
        <f t="shared" si="12"/>
        <v>720</v>
      </c>
      <c r="E17" s="11">
        <f t="shared" si="12"/>
        <v>720</v>
      </c>
      <c r="F17" s="11">
        <f t="shared" si="12"/>
        <v>720</v>
      </c>
    </row>
    <row r="18" spans="1:6" ht="21.9" customHeight="1" x14ac:dyDescent="0.3">
      <c r="A18" s="12" t="s">
        <v>7</v>
      </c>
      <c r="B18" s="13">
        <f>$B$7*3</f>
        <v>60</v>
      </c>
      <c r="C18" s="13">
        <f>$B$7*3</f>
        <v>60</v>
      </c>
      <c r="D18" s="13">
        <f>$B$7*3</f>
        <v>60</v>
      </c>
      <c r="E18" s="13">
        <f>$B$7*3</f>
        <v>60</v>
      </c>
      <c r="F18" s="13">
        <f>$B$7*3</f>
        <v>60</v>
      </c>
    </row>
    <row r="19" spans="1:6" ht="21.9" customHeight="1" x14ac:dyDescent="0.3">
      <c r="A19" s="8" t="s">
        <v>8</v>
      </c>
      <c r="B19" s="9">
        <f t="shared" ref="B19" si="13">B11-B17-B18</f>
        <v>19220</v>
      </c>
      <c r="C19" s="9">
        <f t="shared" ref="C19:D19" si="14">C11-C17-C18</f>
        <v>19220</v>
      </c>
      <c r="D19" s="9">
        <f t="shared" si="14"/>
        <v>19220</v>
      </c>
      <c r="E19" s="9">
        <f t="shared" ref="E19" si="15">E11-E17-E18</f>
        <v>19220</v>
      </c>
      <c r="F19" s="9">
        <f t="shared" ref="F19" si="16">F11-F17-F18</f>
        <v>19220</v>
      </c>
    </row>
    <row r="20" spans="1:6" ht="21.9" customHeight="1" x14ac:dyDescent="0.3">
      <c r="A20" s="8"/>
      <c r="B20" s="9"/>
      <c r="C20" s="9"/>
      <c r="D20" s="9"/>
      <c r="E20" s="9"/>
      <c r="F20" s="9"/>
    </row>
    <row r="21" spans="1:6" ht="21.9" customHeight="1" x14ac:dyDescent="0.3">
      <c r="A21" s="8" t="s">
        <v>9</v>
      </c>
      <c r="B21" s="20">
        <f>B19*0.6</f>
        <v>11532</v>
      </c>
      <c r="C21" s="20">
        <f>C19*0.6</f>
        <v>11532</v>
      </c>
      <c r="D21" s="20">
        <f>D19*0.6</f>
        <v>11532</v>
      </c>
      <c r="E21" s="20">
        <f>E19*0.6</f>
        <v>11532</v>
      </c>
      <c r="F21" s="20">
        <f>F19*0.6</f>
        <v>11532</v>
      </c>
    </row>
    <row r="22" spans="1:6" ht="21.9" customHeight="1" x14ac:dyDescent="0.3">
      <c r="A22" s="8" t="s">
        <v>17</v>
      </c>
      <c r="B22" s="9"/>
      <c r="C22" s="9"/>
      <c r="D22" s="9"/>
      <c r="E22" s="9"/>
      <c r="F22" s="9"/>
    </row>
    <row r="23" spans="1:6" ht="21.9" customHeight="1" x14ac:dyDescent="0.3">
      <c r="A23" s="8" t="s">
        <v>18</v>
      </c>
      <c r="B23" s="18">
        <f>B21/1.16</f>
        <v>9941.3793103448279</v>
      </c>
      <c r="C23" s="9">
        <f t="shared" ref="C23:D23" si="17">C21/1.16</f>
        <v>9941.3793103448279</v>
      </c>
      <c r="D23" s="9">
        <f t="shared" si="17"/>
        <v>9941.3793103448279</v>
      </c>
      <c r="E23" s="9">
        <f t="shared" ref="E23:F23" si="18">E21/1.16</f>
        <v>9941.3793103448279</v>
      </c>
      <c r="F23" s="9">
        <f t="shared" si="18"/>
        <v>9941.3793103448279</v>
      </c>
    </row>
    <row r="24" spans="1:6" ht="21.9" customHeight="1" x14ac:dyDescent="0.3">
      <c r="A24" s="8" t="s">
        <v>19</v>
      </c>
      <c r="B24" s="18">
        <f t="shared" ref="B24" si="19">B23*0.16</f>
        <v>1590.6206896551726</v>
      </c>
      <c r="C24" s="9">
        <f t="shared" ref="C24:D24" si="20">C23*0.16</f>
        <v>1590.6206896551726</v>
      </c>
      <c r="D24" s="9">
        <f t="shared" si="20"/>
        <v>1590.6206896551726</v>
      </c>
      <c r="E24" s="9">
        <f t="shared" ref="E24" si="21">E23*0.16</f>
        <v>1590.6206896551726</v>
      </c>
      <c r="F24" s="9">
        <f t="shared" ref="F24" si="22">F23*0.16</f>
        <v>1590.6206896551726</v>
      </c>
    </row>
    <row r="25" spans="1:6" ht="21.9" customHeight="1" x14ac:dyDescent="0.3">
      <c r="A25" s="8" t="s">
        <v>11</v>
      </c>
      <c r="B25" s="18">
        <f t="shared" ref="B25" si="23">B23+B24</f>
        <v>11532</v>
      </c>
      <c r="C25" s="9">
        <f t="shared" ref="C25:D25" si="24">C23+C24</f>
        <v>11532</v>
      </c>
      <c r="D25" s="9">
        <f t="shared" si="24"/>
        <v>11532</v>
      </c>
      <c r="E25" s="9">
        <f t="shared" ref="E25" si="25">E23+E24</f>
        <v>11532</v>
      </c>
      <c r="F25" s="9">
        <f t="shared" ref="F25" si="26">F23+F24</f>
        <v>11532</v>
      </c>
    </row>
    <row r="26" spans="1:6" ht="21.9" customHeight="1" x14ac:dyDescent="0.3">
      <c r="A26" s="10" t="s">
        <v>12</v>
      </c>
      <c r="B26" s="17">
        <f>B23*0.1</f>
        <v>994.13793103448279</v>
      </c>
      <c r="C26" s="17">
        <f>C25*0.025</f>
        <v>288.3</v>
      </c>
      <c r="D26" s="17">
        <f>D25*0.2</f>
        <v>2306.4</v>
      </c>
      <c r="E26" s="17">
        <f>E25*0.025</f>
        <v>288.3</v>
      </c>
      <c r="F26" s="17">
        <f>F25*0.2</f>
        <v>2306.4</v>
      </c>
    </row>
    <row r="27" spans="1:6" ht="21.9" customHeight="1" x14ac:dyDescent="0.3">
      <c r="A27" s="12" t="s">
        <v>13</v>
      </c>
      <c r="B27" s="17">
        <f>B23*0.10667</f>
        <v>1060.4469310344828</v>
      </c>
      <c r="C27" s="17">
        <f>C23*0.08</f>
        <v>795.31034482758628</v>
      </c>
      <c r="D27" s="17">
        <f>(D23*0.16)*1</f>
        <v>1590.6206896551726</v>
      </c>
      <c r="E27" s="17">
        <f t="shared" ref="E27" si="27">(E23*0.16)*0.5</f>
        <v>795.31034482758628</v>
      </c>
      <c r="F27" s="17">
        <f>(F23*0.16)*1</f>
        <v>1590.6206896551726</v>
      </c>
    </row>
    <row r="28" spans="1:6" ht="21.9" customHeight="1" x14ac:dyDescent="0.3">
      <c r="A28" s="12"/>
      <c r="B28" s="17"/>
      <c r="C28" s="11"/>
      <c r="D28" s="11"/>
      <c r="E28" s="11"/>
      <c r="F28" s="11"/>
    </row>
    <row r="29" spans="1:6" ht="21.9" customHeight="1" x14ac:dyDescent="0.3">
      <c r="A29" s="10" t="s">
        <v>14</v>
      </c>
      <c r="B29" s="17">
        <f t="shared" ref="B29" si="28">B26+B27</f>
        <v>2054.5848620689658</v>
      </c>
      <c r="C29" s="11">
        <f t="shared" ref="C29:D29" si="29">C26+C27</f>
        <v>1083.6103448275862</v>
      </c>
      <c r="D29" s="11">
        <f t="shared" si="29"/>
        <v>3897.0206896551726</v>
      </c>
      <c r="E29" s="11">
        <f t="shared" ref="E29" si="30">E26+E27</f>
        <v>1083.6103448275862</v>
      </c>
      <c r="F29" s="11">
        <f t="shared" ref="F29" si="31">F26+F27</f>
        <v>3897.0206896551726</v>
      </c>
    </row>
    <row r="30" spans="1:6" ht="21.9" customHeight="1" thickBot="1" x14ac:dyDescent="0.35">
      <c r="A30" s="14" t="s">
        <v>15</v>
      </c>
      <c r="B30" s="19">
        <f t="shared" ref="B30" si="32">B25-B29</f>
        <v>9477.4151379310351</v>
      </c>
      <c r="C30" s="15">
        <f t="shared" ref="C30:D30" si="33">C25-C29</f>
        <v>10448.389655172414</v>
      </c>
      <c r="D30" s="15">
        <f t="shared" si="33"/>
        <v>7634.9793103448274</v>
      </c>
      <c r="E30" s="15">
        <f t="shared" ref="E30" si="34">E25-E29</f>
        <v>10448.389655172414</v>
      </c>
      <c r="F30" s="15">
        <f t="shared" ref="F30" si="35">F25-F29</f>
        <v>7634.9793103448274</v>
      </c>
    </row>
    <row r="31" spans="1:6" ht="15" thickTop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Calculadora Fiscal Simplificada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Turkey</cp:lastModifiedBy>
  <dcterms:created xsi:type="dcterms:W3CDTF">2026-06-18T19:19:10Z</dcterms:created>
  <dcterms:modified xsi:type="dcterms:W3CDTF">2026-06-29T22:23:51Z</dcterms:modified>
</cp:coreProperties>
</file>