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entas 1\Downloads\"/>
    </mc:Choice>
  </mc:AlternateContent>
  <xr:revisionPtr revIDLastSave="0" documentId="13_ncr:1_{71D6AA2E-DC37-4987-8136-C85B6B63210C}" xr6:coauthVersionLast="47" xr6:coauthVersionMax="47" xr10:uidLastSave="{00000000-0000-0000-0000-000000000000}"/>
  <bookViews>
    <workbookView xWindow="-120" yWindow="-120" windowWidth="29040" windowHeight="15720" xr2:uid="{B2B9D492-16B8-473F-BC81-8195D8BB22B8}"/>
  </bookViews>
  <sheets>
    <sheet name="SIMULADOR MOD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6" i="2" l="1"/>
  <c r="I14" i="2"/>
  <c r="F14" i="2"/>
  <c r="L10" i="2"/>
  <c r="I10" i="2"/>
  <c r="L18" i="2" l="1"/>
  <c r="L6" i="2"/>
  <c r="I6" i="2"/>
  <c r="F6" i="2"/>
  <c r="L5" i="2"/>
  <c r="I5" i="2"/>
  <c r="I7" i="2" s="1"/>
  <c r="I8" i="2" s="1"/>
  <c r="I9" i="2" s="1"/>
  <c r="F5" i="2"/>
  <c r="F7" i="2" s="1"/>
  <c r="F8" i="2" s="1"/>
  <c r="F9" i="2" s="1"/>
  <c r="F10" i="2" l="1"/>
  <c r="L7" i="2"/>
  <c r="I11" i="2"/>
  <c r="L11" i="2" l="1"/>
  <c r="L8" i="2"/>
  <c r="L9" i="2" s="1"/>
  <c r="F11" i="2"/>
  <c r="F12" i="2" s="1"/>
  <c r="I12" i="2"/>
  <c r="I13" i="2" s="1"/>
  <c r="L12" i="2" l="1"/>
  <c r="L13" i="2" s="1"/>
  <c r="L15" i="2" s="1"/>
  <c r="L19" i="2" s="1"/>
  <c r="F13" i="2"/>
  <c r="I16" i="2"/>
  <c r="I17" i="2"/>
  <c r="I15" i="2"/>
  <c r="F16" i="2" l="1"/>
  <c r="F15" i="2"/>
  <c r="F17" i="2"/>
  <c r="I18" i="2"/>
  <c r="I19" i="2" s="1"/>
  <c r="F18" i="2" l="1"/>
  <c r="F19" i="2" s="1"/>
</calcChain>
</file>

<file path=xl/sharedStrings.xml><?xml version="1.0" encoding="utf-8"?>
<sst xmlns="http://schemas.openxmlformats.org/spreadsheetml/2006/main" count="54" uniqueCount="22">
  <si>
    <t xml:space="preserve">REGIMEN FISCAL </t>
  </si>
  <si>
    <t xml:space="preserve">COSTO DEL CURSO </t>
  </si>
  <si>
    <t>ESTIMADO DE ALUMNOS INSCRITOS</t>
  </si>
  <si>
    <t xml:space="preserve">CONCEPTOS </t>
  </si>
  <si>
    <t>RESICO</t>
  </si>
  <si>
    <t>ACTIVIDAD E Y P</t>
  </si>
  <si>
    <t xml:space="preserve">ASMILIADOS A S YS </t>
  </si>
  <si>
    <t>Ingreso Bruto Total</t>
  </si>
  <si>
    <t>Comisión Stripe (3.6% con IVA)</t>
  </si>
  <si>
    <t>Comisión Stripe (Fija con IVA)</t>
  </si>
  <si>
    <t>Total Libre en Banco (Neto)</t>
  </si>
  <si>
    <t>Comisión pactada con el  instructor.</t>
  </si>
  <si>
    <t>Exento de IVA</t>
  </si>
  <si>
    <t>Total Bruto</t>
  </si>
  <si>
    <t>Retención de ISR 1.25 %</t>
  </si>
  <si>
    <t>Retención de ISR 10 %</t>
  </si>
  <si>
    <t>Retención de IVA 10.6667%</t>
  </si>
  <si>
    <t>Total de Retenciones</t>
  </si>
  <si>
    <t>Pago Neto a Depositar</t>
  </si>
  <si>
    <t xml:space="preserve">IVA (16%) </t>
  </si>
  <si>
    <t>Subtotal de Venta (Sin IVA)</t>
  </si>
  <si>
    <t xml:space="preserve">IVA Cobrado (16%)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</si>
</sst>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applyFont="1" applyFill="1" applyAlignment="1">
      <alignment horizontal="left"/>
    </xf>
    <xf numFmtId="0" fontId="3" fillId="0" borderId="0" xfId="0" applyFont="1"/>
    <xf numFmtId="0" fontId="2" fillId="2" borderId="0" xfId="0" applyFont="1" applyFill="1"/>
    <xf numFmtId="44" fontId="0" fillId="0" borderId="0" xfId="1" applyFont="1"/>
    <xf numFmtId="0" fontId="0" fillId="3" borderId="0" xfId="0" applyFill="1" applyAlignment="1">
      <alignment horizontal="left" vertic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left" vertical="center"/>
    </xf>
    <xf numFmtId="44" fontId="0" fillId="0" borderId="0" xfId="0" applyNumberFormat="1"/>
    <xf numFmtId="0" fontId="0" fillId="0" borderId="1" xfId="0" applyBorder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44" fontId="0" fillId="0" borderId="1" xfId="0" applyNumberFormat="1" applyBorder="1"/>
    <xf numFmtId="0" fontId="4" fillId="2" borderId="0" xfId="0" applyFont="1" applyFill="1" applyAlignment="1">
      <alignment horizontal="left" vertical="center" wrapText="1"/>
    </xf>
    <xf numFmtId="44" fontId="2" fillId="2" borderId="0" xfId="0" applyNumberFormat="1" applyFont="1" applyFill="1"/>
    <xf numFmtId="44" fontId="0" fillId="0" borderId="0" xfId="0" applyNumberForma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22F87-5378-4C68-9F26-666564A087F0}">
  <sheetPr codeName="Hoja4">
    <outlinePr summaryBelow="0"/>
  </sheetPr>
  <dimension ref="B1:L22"/>
  <sheetViews>
    <sheetView tabSelected="1" topLeftCell="B1" zoomScale="85" zoomScaleNormal="85" workbookViewId="0">
      <pane xSplit="2" topLeftCell="D1" activePane="topRight" state="frozen"/>
      <selection activeCell="B1" sqref="B1"/>
      <selection pane="topRight" activeCell="L17" sqref="L17"/>
    </sheetView>
  </sheetViews>
  <sheetFormatPr baseColWidth="10" defaultRowHeight="15" outlineLevelRow="1" x14ac:dyDescent="0.25"/>
  <cols>
    <col min="2" max="2" width="43.85546875" bestFit="1" customWidth="1"/>
    <col min="3" max="3" width="12.85546875" customWidth="1"/>
    <col min="5" max="5" width="35" bestFit="1" customWidth="1"/>
    <col min="6" max="6" width="15.42578125" bestFit="1" customWidth="1"/>
    <col min="8" max="8" width="32.85546875" bestFit="1" customWidth="1"/>
    <col min="9" max="9" width="15.42578125" bestFit="1" customWidth="1"/>
    <col min="11" max="11" width="32.7109375" bestFit="1" customWidth="1"/>
    <col min="12" max="12" width="15.42578125" bestFit="1" customWidth="1"/>
  </cols>
  <sheetData>
    <row r="1" spans="2:12" x14ac:dyDescent="0.25">
      <c r="B1" s="1" t="s">
        <v>0</v>
      </c>
      <c r="C1" s="2" t="s">
        <v>4</v>
      </c>
    </row>
    <row r="2" spans="2:12" x14ac:dyDescent="0.25">
      <c r="B2" s="3" t="s">
        <v>1</v>
      </c>
      <c r="C2" s="4">
        <v>1000</v>
      </c>
    </row>
    <row r="3" spans="2:12" x14ac:dyDescent="0.25">
      <c r="B3" s="3" t="s">
        <v>2</v>
      </c>
      <c r="C3">
        <v>20</v>
      </c>
    </row>
    <row r="4" spans="2:12" x14ac:dyDescent="0.25">
      <c r="E4" s="5" t="s">
        <v>3</v>
      </c>
      <c r="F4" s="6" t="s">
        <v>4</v>
      </c>
      <c r="G4" s="7"/>
      <c r="H4" s="5" t="s">
        <v>3</v>
      </c>
      <c r="I4" s="8" t="s">
        <v>5</v>
      </c>
      <c r="K4" s="5" t="s">
        <v>3</v>
      </c>
      <c r="L4" s="8" t="s">
        <v>6</v>
      </c>
    </row>
    <row r="5" spans="2:12" x14ac:dyDescent="0.25">
      <c r="E5" s="9" t="s">
        <v>1</v>
      </c>
      <c r="F5" s="10">
        <f>C2</f>
        <v>1000</v>
      </c>
      <c r="H5" s="9" t="s">
        <v>1</v>
      </c>
      <c r="I5" s="10">
        <f>C2</f>
        <v>1000</v>
      </c>
      <c r="K5" s="9" t="s">
        <v>1</v>
      </c>
      <c r="L5" s="10">
        <f>C2</f>
        <v>1000</v>
      </c>
    </row>
    <row r="6" spans="2:12" ht="15.75" thickBot="1" x14ac:dyDescent="0.3">
      <c r="E6" s="9" t="s">
        <v>2</v>
      </c>
      <c r="F6" s="11">
        <f>C3</f>
        <v>20</v>
      </c>
      <c r="H6" s="9" t="s">
        <v>2</v>
      </c>
      <c r="I6" s="11">
        <f>C3</f>
        <v>20</v>
      </c>
      <c r="K6" s="9" t="s">
        <v>2</v>
      </c>
      <c r="L6" s="11">
        <f>C3</f>
        <v>20</v>
      </c>
    </row>
    <row r="7" spans="2:12" outlineLevel="1" x14ac:dyDescent="0.25">
      <c r="E7" s="12" t="s">
        <v>7</v>
      </c>
      <c r="F7" s="10">
        <f>F5*F6</f>
        <v>20000</v>
      </c>
      <c r="H7" s="12" t="s">
        <v>7</v>
      </c>
      <c r="I7" s="10">
        <f>I5*I6</f>
        <v>20000</v>
      </c>
      <c r="K7" s="12" t="s">
        <v>7</v>
      </c>
      <c r="L7" s="10">
        <f>L5*L6</f>
        <v>20000</v>
      </c>
    </row>
    <row r="8" spans="2:12" outlineLevel="1" x14ac:dyDescent="0.25">
      <c r="E8" s="12" t="s">
        <v>20</v>
      </c>
      <c r="F8" s="10">
        <f>F7/1.16</f>
        <v>17241.37931034483</v>
      </c>
      <c r="H8" s="12" t="s">
        <v>20</v>
      </c>
      <c r="I8" s="10">
        <f>I7/1.16</f>
        <v>17241.37931034483</v>
      </c>
      <c r="K8" s="12" t="s">
        <v>20</v>
      </c>
      <c r="L8" s="10">
        <f>L7/1.16</f>
        <v>17241.37931034483</v>
      </c>
    </row>
    <row r="9" spans="2:12" ht="15.75" outlineLevel="1" thickBot="1" x14ac:dyDescent="0.3">
      <c r="E9" s="12" t="s">
        <v>21</v>
      </c>
      <c r="F9" s="14">
        <f>F8*0.16</f>
        <v>2758.620689655173</v>
      </c>
      <c r="H9" s="12" t="s">
        <v>21</v>
      </c>
      <c r="I9" s="14">
        <f>I8*0.16</f>
        <v>2758.620689655173</v>
      </c>
      <c r="K9" s="12" t="s">
        <v>21</v>
      </c>
      <c r="L9" s="14">
        <f>L8*0.16</f>
        <v>2758.620689655173</v>
      </c>
    </row>
    <row r="10" spans="2:12" outlineLevel="1" x14ac:dyDescent="0.25">
      <c r="E10" s="13" t="s">
        <v>8</v>
      </c>
      <c r="F10" s="10">
        <f>F7*0.0348</f>
        <v>696</v>
      </c>
      <c r="H10" s="13" t="s">
        <v>8</v>
      </c>
      <c r="I10" s="10">
        <f>I7*0.0348</f>
        <v>696</v>
      </c>
      <c r="K10" s="13" t="s">
        <v>8</v>
      </c>
      <c r="L10" s="10">
        <f>L7*0.0348</f>
        <v>696</v>
      </c>
    </row>
    <row r="11" spans="2:12" ht="15.75" outlineLevel="1" thickBot="1" x14ac:dyDescent="0.3">
      <c r="E11" s="13" t="s">
        <v>9</v>
      </c>
      <c r="F11" s="14">
        <f>F7*0.00348</f>
        <v>69.599999999999994</v>
      </c>
      <c r="H11" s="13" t="s">
        <v>9</v>
      </c>
      <c r="I11" s="14">
        <f>I7*0.00348</f>
        <v>69.599999999999994</v>
      </c>
      <c r="K11" s="13" t="s">
        <v>9</v>
      </c>
      <c r="L11" s="14">
        <f>L7*0.00348</f>
        <v>69.599999999999994</v>
      </c>
    </row>
    <row r="12" spans="2:12" outlineLevel="1" x14ac:dyDescent="0.25">
      <c r="E12" s="12" t="s">
        <v>10</v>
      </c>
      <c r="F12" s="10">
        <f>F7-F10-F11</f>
        <v>19234.400000000001</v>
      </c>
      <c r="H12" s="12" t="s">
        <v>10</v>
      </c>
      <c r="I12" s="10">
        <f>I7-I10-I11</f>
        <v>19234.400000000001</v>
      </c>
      <c r="K12" s="12" t="s">
        <v>10</v>
      </c>
      <c r="L12" s="10">
        <f>L7-L10-L11</f>
        <v>19234.400000000001</v>
      </c>
    </row>
    <row r="13" spans="2:12" ht="28.5" x14ac:dyDescent="0.25">
      <c r="E13" s="13" t="s">
        <v>11</v>
      </c>
      <c r="F13" s="10">
        <f>F12*0.5</f>
        <v>9617.2000000000007</v>
      </c>
      <c r="H13" s="13" t="s">
        <v>11</v>
      </c>
      <c r="I13" s="17">
        <f>I12*0.5</f>
        <v>9617.2000000000007</v>
      </c>
      <c r="K13" s="13" t="s">
        <v>11</v>
      </c>
      <c r="L13" s="10">
        <f>L12*0.5</f>
        <v>9617.2000000000007</v>
      </c>
    </row>
    <row r="14" spans="2:12" ht="15.75" thickBot="1" x14ac:dyDescent="0.3">
      <c r="E14" s="13" t="s">
        <v>19</v>
      </c>
      <c r="F14" s="14">
        <f>F13*0.16</f>
        <v>1538.7520000000002</v>
      </c>
      <c r="H14" s="13" t="s">
        <v>19</v>
      </c>
      <c r="I14" s="14">
        <f>I13*0.16</f>
        <v>1538.7520000000002</v>
      </c>
      <c r="K14" s="13" t="s">
        <v>12</v>
      </c>
      <c r="L14" s="14">
        <v>0</v>
      </c>
    </row>
    <row r="15" spans="2:12" x14ac:dyDescent="0.25">
      <c r="E15" s="12" t="s">
        <v>13</v>
      </c>
      <c r="F15" s="10">
        <f>F13+F14</f>
        <v>11155.952000000001</v>
      </c>
      <c r="H15" s="12" t="s">
        <v>13</v>
      </c>
      <c r="I15" s="10">
        <f>I13+I14</f>
        <v>11155.952000000001</v>
      </c>
      <c r="K15" s="12" t="s">
        <v>13</v>
      </c>
      <c r="L15" s="10">
        <f>L13+L14</f>
        <v>9617.2000000000007</v>
      </c>
    </row>
    <row r="16" spans="2:12" ht="15.75" thickBot="1" x14ac:dyDescent="0.3">
      <c r="E16" s="13" t="s">
        <v>14</v>
      </c>
      <c r="F16" s="10">
        <f>F13*1.25%</f>
        <v>120.21500000000002</v>
      </c>
      <c r="H16" s="13" t="s">
        <v>15</v>
      </c>
      <c r="I16" s="10">
        <f>I13*10%</f>
        <v>961.72000000000014</v>
      </c>
      <c r="K16" s="13" t="s">
        <v>15</v>
      </c>
      <c r="L16" s="14">
        <f>L13*0.075</f>
        <v>721.29000000000008</v>
      </c>
    </row>
    <row r="17" spans="5:12" ht="15.75" thickBot="1" x14ac:dyDescent="0.3">
      <c r="E17" s="13" t="s">
        <v>16</v>
      </c>
      <c r="F17" s="14">
        <f>F13*0.106667</f>
        <v>1025.8378724000002</v>
      </c>
      <c r="H17" s="13" t="s">
        <v>16</v>
      </c>
      <c r="I17" s="14">
        <f>I13*0.106667</f>
        <v>1025.8378724000002</v>
      </c>
    </row>
    <row r="18" spans="5:12" x14ac:dyDescent="0.25">
      <c r="E18" s="13" t="s">
        <v>17</v>
      </c>
      <c r="F18" s="10">
        <f>F16+F17</f>
        <v>1146.0528724000001</v>
      </c>
      <c r="H18" s="13" t="s">
        <v>17</v>
      </c>
      <c r="I18" s="10">
        <f>I16+I17</f>
        <v>1987.5578724000002</v>
      </c>
      <c r="K18" s="13" t="s">
        <v>17</v>
      </c>
      <c r="L18" s="10">
        <f>L16</f>
        <v>721.29000000000008</v>
      </c>
    </row>
    <row r="19" spans="5:12" x14ac:dyDescent="0.25">
      <c r="E19" s="15" t="s">
        <v>18</v>
      </c>
      <c r="F19" s="16">
        <f>F15-F18</f>
        <v>10009.899127600002</v>
      </c>
      <c r="H19" s="15" t="s">
        <v>18</v>
      </c>
      <c r="I19" s="16">
        <f>I15-I18</f>
        <v>9168.3941276000005</v>
      </c>
      <c r="K19" s="15" t="s">
        <v>18</v>
      </c>
      <c r="L19" s="16">
        <f>L15-L18</f>
        <v>8895.91</v>
      </c>
    </row>
    <row r="20" spans="5:12" x14ac:dyDescent="0.25">
      <c r="E20" s="9"/>
    </row>
    <row r="21" spans="5:12" x14ac:dyDescent="0.25">
      <c r="E21" s="9"/>
    </row>
    <row r="22" spans="5:12" x14ac:dyDescent="0.25">
      <c r="E22" s="9"/>
    </row>
  </sheetData>
  <dataValidations count="1">
    <dataValidation type="list" allowBlank="1" showInputMessage="1" showErrorMessage="1" sqref="C1" xr:uid="{C39047AB-494D-4E22-AB9B-506356BA990D}">
      <formula1>"PERSONA FISICA CON ACTIVIDAD EMPRESARIAL, RESICO, ASIMILADO A SUELDOS Y SALARIOS 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SIMULADOR MOD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Ventas 1</dc:creator>
  <cp:lastModifiedBy>Ventas 1</cp:lastModifiedBy>
  <dcterms:created xsi:type="dcterms:W3CDTF">2026-06-16T15:50:49Z</dcterms:created>
  <dcterms:modified xsi:type="dcterms:W3CDTF">2026-06-16T20:50:27Z</dcterms:modified>
</cp:coreProperties>
</file>